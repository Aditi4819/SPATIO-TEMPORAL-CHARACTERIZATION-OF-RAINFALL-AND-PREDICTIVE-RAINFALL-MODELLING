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RESULTS\"/>
    </mc:Choice>
  </mc:AlternateContent>
  <xr:revisionPtr revIDLastSave="0" documentId="13_ncr:1_{C72B8AC0-8F22-47BC-B6B4-DE2DA5D82B9F}" xr6:coauthVersionLast="47" xr6:coauthVersionMax="47" xr10:uidLastSave="{00000000-0000-0000-0000-000000000000}"/>
  <bookViews>
    <workbookView xWindow="-120" yWindow="-120" windowWidth="19440" windowHeight="11640" xr2:uid="{9DB87217-19F2-4DC8-A61D-E8B87590A10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C32" i="2"/>
  <c r="B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<sst xmlns="http://schemas.openxmlformats.org/spreadsheetml/2006/main" count="83" uniqueCount="81">
  <si>
    <t>Angul</t>
  </si>
  <si>
    <t>Balasore</t>
  </si>
  <si>
    <t>Bargarh</t>
  </si>
  <si>
    <t>Bhadrak</t>
  </si>
  <si>
    <t>Balangir</t>
  </si>
  <si>
    <t>Boudh</t>
  </si>
  <si>
    <t>Deogarh</t>
  </si>
  <si>
    <t>Dhenkanal</t>
  </si>
  <si>
    <t>Gajapati</t>
  </si>
  <si>
    <t>Ganjam</t>
  </si>
  <si>
    <t>Jagatsingpur</t>
  </si>
  <si>
    <t>Jajpur</t>
  </si>
  <si>
    <t>Jharsuguda</t>
  </si>
  <si>
    <t>Kalahandi</t>
  </si>
  <si>
    <t>Kandhamal</t>
  </si>
  <si>
    <t>Kendrapada</t>
  </si>
  <si>
    <t>Keonjhar</t>
  </si>
  <si>
    <t>Khordha</t>
  </si>
  <si>
    <t>Koraput</t>
  </si>
  <si>
    <t>Malkangiri</t>
  </si>
  <si>
    <t>Mayurbhanj</t>
  </si>
  <si>
    <t>Nawarangpur</t>
  </si>
  <si>
    <t>Nayagarh</t>
  </si>
  <si>
    <t>Nuapada</t>
  </si>
  <si>
    <t>Puri</t>
  </si>
  <si>
    <t>Rayagada</t>
  </si>
  <si>
    <t>Sambalpur</t>
  </si>
  <si>
    <t>Sundargarh</t>
  </si>
  <si>
    <t>LONGITUDE</t>
  </si>
  <si>
    <t>LATITUDE</t>
  </si>
  <si>
    <t>Sonepur</t>
  </si>
  <si>
    <t>SL.NO</t>
  </si>
  <si>
    <t>LOCATION</t>
  </si>
  <si>
    <t>ALT(m)</t>
  </si>
  <si>
    <t>ANNUAL RAINFALL</t>
  </si>
  <si>
    <t>MEAN(mm)</t>
  </si>
  <si>
    <t>CV %</t>
  </si>
  <si>
    <t>SI</t>
  </si>
  <si>
    <t>DIST</t>
  </si>
  <si>
    <t>Ang</t>
  </si>
  <si>
    <t>Bala</t>
  </si>
  <si>
    <t>Barg</t>
  </si>
  <si>
    <t>Bhad</t>
  </si>
  <si>
    <t>Bal</t>
  </si>
  <si>
    <t>Bou</t>
  </si>
  <si>
    <t>Cut</t>
  </si>
  <si>
    <t>Deo</t>
  </si>
  <si>
    <t>Dhen</t>
  </si>
  <si>
    <t>Gaj</t>
  </si>
  <si>
    <t>Gan</t>
  </si>
  <si>
    <t>Jaga</t>
  </si>
  <si>
    <t>Jaj</t>
  </si>
  <si>
    <t>Jhar</t>
  </si>
  <si>
    <t>Kala</t>
  </si>
  <si>
    <t>Kand</t>
  </si>
  <si>
    <t>Kend</t>
  </si>
  <si>
    <t>Keon</t>
  </si>
  <si>
    <t>Kho</t>
  </si>
  <si>
    <t>Kor</t>
  </si>
  <si>
    <t>Malk</t>
  </si>
  <si>
    <t>Mayu</t>
  </si>
  <si>
    <t>Nawa</t>
  </si>
  <si>
    <t>Naya</t>
  </si>
  <si>
    <t>Nua</t>
  </si>
  <si>
    <t>Ray</t>
  </si>
  <si>
    <t>Sam</t>
  </si>
  <si>
    <t>Sub</t>
  </si>
  <si>
    <t>Sun</t>
  </si>
  <si>
    <t>Cuttack</t>
  </si>
  <si>
    <t>1. ANGUL</t>
  </si>
  <si>
    <t>Banarpal</t>
  </si>
  <si>
    <t>Chhendipada</t>
  </si>
  <si>
    <t>Talcher</t>
  </si>
  <si>
    <t>Kaniha</t>
  </si>
  <si>
    <t>Athamalik</t>
  </si>
  <si>
    <t>Kishorenagar</t>
  </si>
  <si>
    <t>Pallahara</t>
  </si>
  <si>
    <t>Total</t>
  </si>
  <si>
    <t>Average</t>
  </si>
  <si>
    <t>DISTRICTS</t>
  </si>
  <si>
    <t>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</si>
</sst>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8"/>
      <name val="Arial Narrow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horizontal="justify" vertical="top" wrapText="1"/>
    </xf>
    <xf numFmtId="0" fontId="1" fillId="0" borderId="0"/>
  </cellStyleXfs>
  <cellXfs count="48">
    <xf numFmtId="0" fontId="0" fillId="0" borderId="0" xfId="0"/>
    <xf numFmtId="0" fontId="3" fillId="0" borderId="0" xfId="0" applyFont="1"/>
    <xf numFmtId="164" fontId="0" fillId="0" borderId="0" xfId="0" applyNumberFormat="1"/>
    <xf numFmtId="0" fontId="1" fillId="0" borderId="0" xfId="1">
      <alignment horizontal="justify" vertical="top" wrapText="1"/>
    </xf>
    <xf numFmtId="0" fontId="4" fillId="0" borderId="0" xfId="0" applyFont="1" applyAlignment="1">
      <alignment horizontal="center"/>
    </xf>
    <xf numFmtId="0" fontId="6" fillId="0" borderId="0" xfId="1" applyFont="1">
      <alignment horizontal="justify" vertical="top" wrapText="1"/>
    </xf>
    <xf numFmtId="0" fontId="5" fillId="0" borderId="1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164" fontId="2" fillId="0" borderId="1" xfId="2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8" fillId="0" borderId="2" xfId="2" applyFont="1" applyBorder="1" applyAlignment="1">
      <alignment horizontal="left" vertical="top" wrapText="1"/>
    </xf>
    <xf numFmtId="0" fontId="8" fillId="0" borderId="2" xfId="2" applyFont="1" applyBorder="1" applyAlignment="1">
      <alignment horizontal="center" vertical="top" wrapText="1"/>
    </xf>
    <xf numFmtId="164" fontId="8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 wrapText="1"/>
    </xf>
    <xf numFmtId="164" fontId="9" fillId="0" borderId="2" xfId="2" applyNumberFormat="1" applyFont="1" applyBorder="1" applyAlignment="1">
      <alignment horizontal="right" vertical="top" wrapText="1"/>
    </xf>
    <xf numFmtId="0" fontId="8" fillId="0" borderId="2" xfId="2" applyFont="1" applyBorder="1" applyAlignment="1">
      <alignment horizontal="center"/>
    </xf>
    <xf numFmtId="0" fontId="9" fillId="0" borderId="2" xfId="2" applyFont="1" applyBorder="1" applyAlignment="1">
      <alignment horizontal="center" vertical="top" wrapText="1"/>
    </xf>
    <xf numFmtId="164" fontId="8" fillId="0" borderId="2" xfId="2" applyNumberFormat="1" applyFont="1" applyBorder="1"/>
    <xf numFmtId="0" fontId="10" fillId="0" borderId="0" xfId="0" applyFont="1" applyAlignment="1">
      <alignment horizontal="center"/>
    </xf>
    <xf numFmtId="2" fontId="0" fillId="0" borderId="0" xfId="0" applyNumberFormat="1"/>
    <xf numFmtId="0" fontId="10" fillId="0" borderId="3" xfId="0" applyFont="1" applyBorder="1"/>
    <xf numFmtId="0" fontId="9" fillId="0" borderId="2" xfId="2" applyFont="1" applyBorder="1" applyAlignment="1">
      <alignment horizontal="center"/>
    </xf>
    <xf numFmtId="0" fontId="11" fillId="0" borderId="6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top" wrapText="1"/>
    </xf>
    <xf numFmtId="2" fontId="10" fillId="0" borderId="7" xfId="0" applyNumberFormat="1" applyFont="1" applyBorder="1" applyAlignment="1">
      <alignment horizontal="center" vertical="top"/>
    </xf>
    <xf numFmtId="2" fontId="12" fillId="0" borderId="7" xfId="0" applyNumberFormat="1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</cellXfs>
  <cellStyles count="3">
    <cellStyle name="Normal" xfId="0" builtinId="0"/>
    <cellStyle name="Normal 2" xfId="2" xr:uid="{57D4950F-5D78-4C3D-B5BF-E823E9C43A38}"/>
    <cellStyle name="Normal_Sheet1" xfId="1" xr:uid="{0F39EEA7-026A-4ECC-8FBA-09F6AF5A8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A593-9416-4067-AF60-BC81DD62247C}">
  <dimension ref="A1:AD36"/>
  <sheetViews>
    <sheetView tabSelected="1" topLeftCell="A20" zoomScale="91" zoomScaleNormal="91" workbookViewId="0">
      <selection activeCell="I32" sqref="A1:I32"/>
    </sheetView>
  </sheetViews>
  <sheetFormatPr defaultRowHeight="15" x14ac:dyDescent="0.25"/>
  <cols>
    <col min="1" max="1" width="5.5703125" customWidth="1"/>
    <col min="2" max="2" width="11.140625" style="3" customWidth="1"/>
    <col min="3" max="3" width="10.42578125" style="3" customWidth="1"/>
    <col min="4" max="4" width="12.28515625" style="3" customWidth="1"/>
    <col min="5" max="5" width="7.85546875" style="3" customWidth="1"/>
    <col min="6" max="6" width="10.140625" bestFit="1" customWidth="1"/>
    <col min="7" max="7" width="5.28515625" bestFit="1" customWidth="1"/>
    <col min="8" max="8" width="4.85546875" customWidth="1"/>
    <col min="9" max="9" width="5.7109375" customWidth="1"/>
    <col min="10" max="10" width="6" customWidth="1"/>
  </cols>
  <sheetData>
    <row r="1" spans="1:12" ht="15.75" customHeight="1" x14ac:dyDescent="0.25">
      <c r="A1" s="31" t="s">
        <v>31</v>
      </c>
      <c r="B1" s="32" t="s">
        <v>79</v>
      </c>
      <c r="C1" s="33" t="s">
        <v>32</v>
      </c>
      <c r="D1" s="34"/>
      <c r="E1" s="35" t="s">
        <v>33</v>
      </c>
      <c r="F1" s="41" t="s">
        <v>34</v>
      </c>
      <c r="G1" s="42"/>
      <c r="H1" s="42"/>
      <c r="I1" s="43"/>
      <c r="J1" s="20"/>
      <c r="K1" s="1"/>
    </row>
    <row r="2" spans="1:12" ht="18" customHeight="1" x14ac:dyDescent="0.25">
      <c r="A2" s="36"/>
      <c r="B2" s="37"/>
      <c r="C2" s="38" t="s">
        <v>29</v>
      </c>
      <c r="D2" s="39" t="s">
        <v>28</v>
      </c>
      <c r="E2" s="35"/>
      <c r="F2" s="40" t="s">
        <v>35</v>
      </c>
      <c r="G2" s="40" t="s">
        <v>36</v>
      </c>
      <c r="H2" s="40" t="s">
        <v>37</v>
      </c>
      <c r="I2" s="40" t="s">
        <v>80</v>
      </c>
      <c r="J2" s="18"/>
      <c r="K2" s="1"/>
      <c r="L2" s="4"/>
    </row>
    <row r="3" spans="1:12" ht="15.75" x14ac:dyDescent="0.25">
      <c r="A3" s="25" cm="1">
        <f t="array" ref="A3:A32">_xlfn.SEQUENCE(30,1,1,1)</f>
        <v>1</v>
      </c>
      <c r="B3" s="23" t="s">
        <v>0</v>
      </c>
      <c r="C3" s="22">
        <v>20.84</v>
      </c>
      <c r="D3" s="22">
        <v>85.1</v>
      </c>
      <c r="E3" s="22">
        <v>195</v>
      </c>
      <c r="F3" s="26">
        <v>1305.6082204433501</v>
      </c>
      <c r="G3" s="26" cm="1">
        <f t="array" ref="G3">STDEV(Sheet2!B2:B30/AVERAGE(Sheet2!B2:B30))*100</f>
        <v>19.067086059065385</v>
      </c>
      <c r="H3" s="27">
        <v>0.91486900000000004</v>
      </c>
      <c r="I3" s="24">
        <v>-4.1000000000000002E-2</v>
      </c>
      <c r="J3" s="18"/>
      <c r="K3" s="1"/>
    </row>
    <row r="4" spans="1:12" ht="15.75" x14ac:dyDescent="0.25">
      <c r="A4" s="25">
        <v>2</v>
      </c>
      <c r="B4" s="23" t="s">
        <v>1</v>
      </c>
      <c r="C4" s="23">
        <v>21.49</v>
      </c>
      <c r="D4" s="23">
        <v>86.91</v>
      </c>
      <c r="E4" s="23">
        <v>16</v>
      </c>
      <c r="F4" s="28">
        <v>1686.4907340647901</v>
      </c>
      <c r="G4" s="28" cm="1">
        <f t="array" ref="G4">STDEV(Sheet2!C2:C30/AVERAGE(Sheet2!C2:C30))*100</f>
        <v>18.409044327184358</v>
      </c>
      <c r="H4" s="29">
        <v>1.181762</v>
      </c>
      <c r="I4" s="24">
        <v>0.28599999999999998</v>
      </c>
      <c r="J4" s="18"/>
      <c r="K4" s="1"/>
    </row>
    <row r="5" spans="1:12" ht="15.75" x14ac:dyDescent="0.25">
      <c r="A5" s="25">
        <v>3</v>
      </c>
      <c r="B5" s="23" t="s">
        <v>2</v>
      </c>
      <c r="C5" s="23">
        <v>21.34</v>
      </c>
      <c r="D5" s="23">
        <v>83.63</v>
      </c>
      <c r="E5" s="23">
        <v>171</v>
      </c>
      <c r="F5" s="28">
        <v>1265.320044409613</v>
      </c>
      <c r="G5" s="28" cm="1">
        <f t="array" ref="G5">STDEV(Sheet2!D2:D30/AVERAGE(Sheet2!D2:D30))*100</f>
        <v>19.719013859840782</v>
      </c>
      <c r="H5" s="29">
        <v>0.88663899999999995</v>
      </c>
      <c r="I5" s="24">
        <v>4.3999999999999997E-2</v>
      </c>
      <c r="J5" s="18"/>
      <c r="K5" s="1"/>
    </row>
    <row r="6" spans="1:12" ht="15.75" x14ac:dyDescent="0.25">
      <c r="A6" s="25">
        <v>4</v>
      </c>
      <c r="B6" s="23" t="s">
        <v>3</v>
      </c>
      <c r="C6" s="23">
        <v>21.05</v>
      </c>
      <c r="D6" s="23">
        <v>86.49</v>
      </c>
      <c r="E6" s="23">
        <v>23</v>
      </c>
      <c r="F6" s="28">
        <v>1454.8960591133007</v>
      </c>
      <c r="G6" s="28" cm="1">
        <f t="array" ref="G6">STDEV(Sheet2!E2:E30/AVERAGE(Sheet2!E2:E30))*100</f>
        <v>18.534072384834058</v>
      </c>
      <c r="H6" s="29">
        <v>1.019479</v>
      </c>
      <c r="I6" s="24">
        <v>-0.11799999999999999</v>
      </c>
      <c r="J6" s="18"/>
      <c r="K6" s="1"/>
    </row>
    <row r="7" spans="1:12" ht="15.75" x14ac:dyDescent="0.25">
      <c r="A7" s="25">
        <v>5</v>
      </c>
      <c r="B7" s="23" t="s">
        <v>4</v>
      </c>
      <c r="C7" s="23">
        <v>20.7</v>
      </c>
      <c r="D7" s="23">
        <v>83.48</v>
      </c>
      <c r="E7" s="23">
        <v>383</v>
      </c>
      <c r="F7" s="28">
        <v>1218.2741057218641</v>
      </c>
      <c r="G7" s="28" cm="1">
        <f t="array" ref="G7">STDEV(Sheet2!F2:F30/AVERAGE(Sheet2!F2:F30))*100</f>
        <v>22.788113284871457</v>
      </c>
      <c r="H7" s="29">
        <v>0.85367199999999999</v>
      </c>
      <c r="I7" s="24">
        <v>8.6999999999999994E-2</v>
      </c>
      <c r="J7" s="18"/>
      <c r="K7" s="1"/>
    </row>
    <row r="8" spans="1:12" ht="15.75" x14ac:dyDescent="0.25">
      <c r="A8" s="25">
        <v>6</v>
      </c>
      <c r="B8" s="23" t="s">
        <v>5</v>
      </c>
      <c r="C8" s="23">
        <v>20.84</v>
      </c>
      <c r="D8" s="23">
        <v>84.32</v>
      </c>
      <c r="E8" s="23">
        <v>93</v>
      </c>
      <c r="F8" s="28">
        <v>1334.2264367816092</v>
      </c>
      <c r="G8" s="28" cm="1">
        <f t="array" ref="G8">STDEV(Sheet2!G2:G30/AVERAGE(Sheet2!G2:G30))*100</f>
        <v>21.650398054705001</v>
      </c>
      <c r="H8" s="29">
        <v>0.93492299999999995</v>
      </c>
      <c r="I8" s="24">
        <v>0.28699999999999998</v>
      </c>
      <c r="J8" s="18"/>
      <c r="K8" s="1"/>
      <c r="L8" s="19"/>
    </row>
    <row r="9" spans="1:12" ht="15.75" x14ac:dyDescent="0.25">
      <c r="A9" s="25">
        <v>7</v>
      </c>
      <c r="B9" s="23" t="s">
        <v>68</v>
      </c>
      <c r="C9" s="23">
        <v>20.46</v>
      </c>
      <c r="D9" s="23">
        <v>85.88</v>
      </c>
      <c r="E9" s="23">
        <v>36</v>
      </c>
      <c r="F9" s="28">
        <v>1579.2929266136164</v>
      </c>
      <c r="G9" s="28" cm="1">
        <f t="array" ref="G9">STDEV(Sheet2!H2:H30/AVERAGE(Sheet2!H2:H30))*100</f>
        <v>19.362481072151699</v>
      </c>
      <c r="H9" s="29">
        <v>1.106646</v>
      </c>
      <c r="I9" s="24">
        <v>0.52</v>
      </c>
      <c r="J9" s="18"/>
      <c r="K9" s="1"/>
    </row>
    <row r="10" spans="1:12" ht="15.75" x14ac:dyDescent="0.25">
      <c r="A10" s="25">
        <v>8</v>
      </c>
      <c r="B10" s="23" t="s">
        <v>6</v>
      </c>
      <c r="C10" s="23">
        <v>21.53</v>
      </c>
      <c r="D10" s="23">
        <v>84.72</v>
      </c>
      <c r="E10" s="23">
        <v>255</v>
      </c>
      <c r="F10" s="28">
        <v>1337.4388505747122</v>
      </c>
      <c r="G10" s="28" cm="1">
        <f t="array" ref="G10">STDEV(Sheet2!I2:I30/AVERAGE(Sheet2!I2:I30))*100</f>
        <v>20.716225082084737</v>
      </c>
      <c r="H10" s="29">
        <v>0.93717399999999995</v>
      </c>
      <c r="I10" s="24">
        <v>-0.19900000000000001</v>
      </c>
      <c r="J10" s="18"/>
      <c r="K10" s="1"/>
    </row>
    <row r="11" spans="1:12" ht="15.75" x14ac:dyDescent="0.25">
      <c r="A11" s="25">
        <v>9</v>
      </c>
      <c r="B11" s="23" t="s">
        <v>7</v>
      </c>
      <c r="C11" s="23">
        <v>20.65</v>
      </c>
      <c r="D11" s="23">
        <v>85.59</v>
      </c>
      <c r="E11" s="23">
        <v>80</v>
      </c>
      <c r="F11" s="28">
        <v>1402.1352586206897</v>
      </c>
      <c r="G11" s="28" cm="1">
        <f t="array" ref="G11">STDEV(Sheet2!J2:J30/AVERAGE(Sheet2!J2:J30))*100</f>
        <v>16.673983840348686</v>
      </c>
      <c r="H11" s="29">
        <v>0.98250800000000005</v>
      </c>
      <c r="I11" s="24">
        <v>2.5000000000000001E-2</v>
      </c>
      <c r="J11" s="18"/>
      <c r="K11" s="1"/>
    </row>
    <row r="12" spans="1:12" ht="15.75" x14ac:dyDescent="0.25">
      <c r="A12" s="25">
        <v>10</v>
      </c>
      <c r="B12" s="23" t="s">
        <v>8</v>
      </c>
      <c r="C12" s="23">
        <v>19.190000000000001</v>
      </c>
      <c r="D12" s="23">
        <v>84.18</v>
      </c>
      <c r="E12" s="23">
        <v>1501</v>
      </c>
      <c r="F12" s="28">
        <v>1397.0670689655169</v>
      </c>
      <c r="G12" s="28" cm="1">
        <f t="array" ref="G12">STDEV(Sheet2!K2:K30/AVERAGE(Sheet2!K2:K30))*100</f>
        <v>19.274482061001418</v>
      </c>
      <c r="H12" s="29">
        <v>0.97895699999999997</v>
      </c>
      <c r="I12" s="24">
        <v>-2.3E-2</v>
      </c>
      <c r="J12" s="18"/>
      <c r="K12" s="1"/>
    </row>
    <row r="13" spans="1:12" ht="15.75" x14ac:dyDescent="0.25">
      <c r="A13" s="25">
        <v>11</v>
      </c>
      <c r="B13" s="23" t="s">
        <v>9</v>
      </c>
      <c r="C13" s="23">
        <v>19.38</v>
      </c>
      <c r="D13" s="23">
        <v>85.05</v>
      </c>
      <c r="E13" s="23">
        <v>3</v>
      </c>
      <c r="F13" s="28">
        <v>1301.8892006269593</v>
      </c>
      <c r="G13" s="28" cm="1">
        <f t="array" ref="G13">STDEV(Sheet2!L2:L30/AVERAGE(Sheet2!L2:L30))*100</f>
        <v>20.480404918722581</v>
      </c>
      <c r="H13" s="29">
        <v>0.91226300000000005</v>
      </c>
      <c r="I13" s="24">
        <v>-0.16400000000000001</v>
      </c>
      <c r="J13" s="18"/>
      <c r="K13" s="1"/>
    </row>
    <row r="14" spans="1:12" ht="15.75" x14ac:dyDescent="0.25">
      <c r="A14" s="25">
        <v>12</v>
      </c>
      <c r="B14" s="23" t="s">
        <v>10</v>
      </c>
      <c r="C14" s="23">
        <v>20.190000000000001</v>
      </c>
      <c r="D14" s="23">
        <v>86.33</v>
      </c>
      <c r="E14" s="23">
        <v>15</v>
      </c>
      <c r="F14" s="28">
        <v>1480.0327586206895</v>
      </c>
      <c r="G14" s="28" cm="1">
        <f t="array" ref="G14">STDEV(Sheet2!M2:M30/AVERAGE(Sheet2!M2:M30))*100</f>
        <v>21.998792095027657</v>
      </c>
      <c r="H14" s="29">
        <v>1.037093</v>
      </c>
      <c r="I14" s="24">
        <v>-2.7699999999999999E-2</v>
      </c>
      <c r="J14" s="18"/>
      <c r="K14" s="1"/>
    </row>
    <row r="15" spans="1:12" ht="15.75" x14ac:dyDescent="0.25">
      <c r="A15" s="25">
        <v>13</v>
      </c>
      <c r="B15" s="23" t="s">
        <v>11</v>
      </c>
      <c r="C15" s="23">
        <v>20.83</v>
      </c>
      <c r="D15" s="23">
        <v>86.33</v>
      </c>
      <c r="E15" s="23">
        <v>8</v>
      </c>
      <c r="F15" s="28">
        <v>1568.7086206896547</v>
      </c>
      <c r="G15" s="28" cm="1">
        <f t="array" ref="G15">STDEV(Sheet2!N2:N30/AVERAGE(Sheet2!N2:N30))*100</f>
        <v>20.096422537946868</v>
      </c>
      <c r="H15" s="29">
        <v>1.0992299999999999</v>
      </c>
      <c r="I15" s="24">
        <v>-6.7799999999999999E-2</v>
      </c>
      <c r="J15" s="18"/>
      <c r="K15" s="1"/>
    </row>
    <row r="16" spans="1:12" ht="15.75" x14ac:dyDescent="0.25">
      <c r="A16" s="25">
        <v>14</v>
      </c>
      <c r="B16" s="23" t="s">
        <v>12</v>
      </c>
      <c r="C16" s="23">
        <v>21.85</v>
      </c>
      <c r="D16" s="23">
        <v>84</v>
      </c>
      <c r="E16" s="23">
        <v>218</v>
      </c>
      <c r="F16" s="28">
        <v>1347.4932758620691</v>
      </c>
      <c r="G16" s="28" cm="1">
        <f t="array" ref="G16">STDEV(Sheet2!O2:O30/AVERAGE(Sheet2!O2:O30))*100</f>
        <v>21.29991716472697</v>
      </c>
      <c r="H16" s="29">
        <v>0.94421900000000003</v>
      </c>
      <c r="I16" s="24">
        <v>9.4E-2</v>
      </c>
      <c r="J16" s="18"/>
      <c r="K16" s="1"/>
    </row>
    <row r="17" spans="1:11" ht="15.75" x14ac:dyDescent="0.25">
      <c r="A17" s="25">
        <v>15</v>
      </c>
      <c r="B17" s="23" t="s">
        <v>13</v>
      </c>
      <c r="C17" s="23">
        <v>19.91</v>
      </c>
      <c r="D17" s="23">
        <v>83.16</v>
      </c>
      <c r="E17" s="23">
        <v>355</v>
      </c>
      <c r="F17" s="28">
        <v>1546.8647214854116</v>
      </c>
      <c r="G17" s="28" cm="1">
        <f t="array" ref="G17">STDEV(Sheet2!P2:P30/AVERAGE(Sheet2!P2:P30))*100</f>
        <v>23.4379705067205</v>
      </c>
      <c r="H17" s="29">
        <v>1.083923</v>
      </c>
      <c r="I17" s="24">
        <v>-0.1069</v>
      </c>
      <c r="J17" s="18"/>
      <c r="K17" s="1"/>
    </row>
    <row r="18" spans="1:11" ht="15.75" x14ac:dyDescent="0.25">
      <c r="A18" s="25">
        <v>16</v>
      </c>
      <c r="B18" s="23" t="s">
        <v>14</v>
      </c>
      <c r="C18" s="23">
        <v>20.13</v>
      </c>
      <c r="D18" s="23">
        <v>84.01</v>
      </c>
      <c r="E18" s="23">
        <v>700</v>
      </c>
      <c r="F18" s="28">
        <v>1602.114367816092</v>
      </c>
      <c r="G18" s="28" cm="1">
        <f t="array" ref="G18">STDEV(Sheet2!Q2:Q30/AVERAGE(Sheet2!Q2:Q30))*100</f>
        <v>19.552692956270366</v>
      </c>
      <c r="H18" s="29">
        <v>1.122638</v>
      </c>
      <c r="I18" s="24">
        <v>-0.192</v>
      </c>
      <c r="J18" s="18"/>
      <c r="K18" s="1"/>
    </row>
    <row r="19" spans="1:11" ht="15.75" x14ac:dyDescent="0.25">
      <c r="A19" s="25">
        <v>17</v>
      </c>
      <c r="B19" s="23" t="s">
        <v>15</v>
      </c>
      <c r="C19" s="23">
        <v>20.5</v>
      </c>
      <c r="D19" s="23">
        <v>86.41</v>
      </c>
      <c r="E19" s="23">
        <v>13</v>
      </c>
      <c r="F19" s="28">
        <v>1505.8383141762451</v>
      </c>
      <c r="G19" s="28" cm="1">
        <f t="array" ref="G19">STDEV(Sheet2!R2:R30/AVERAGE(Sheet2!R2:R30))*100</f>
        <v>22.358286068861585</v>
      </c>
      <c r="H19" s="29">
        <v>1.055175</v>
      </c>
      <c r="I19" s="24">
        <v>0.26800000000000002</v>
      </c>
      <c r="J19" s="18"/>
      <c r="K19" s="1"/>
    </row>
    <row r="20" spans="1:11" ht="15.75" x14ac:dyDescent="0.25">
      <c r="A20" s="25">
        <v>18</v>
      </c>
      <c r="B20" s="23" t="s">
        <v>16</v>
      </c>
      <c r="C20" s="23">
        <v>21.63</v>
      </c>
      <c r="D20" s="23">
        <v>85.6</v>
      </c>
      <c r="E20" s="23">
        <v>596</v>
      </c>
      <c r="F20" s="28">
        <v>1386.8974137931029</v>
      </c>
      <c r="G20" s="28" cm="1">
        <f t="array" ref="G20">STDEV(Sheet2!S2:S30/AVERAGE(Sheet2!S2:S30))*100</f>
        <v>19.328388610005735</v>
      </c>
      <c r="H20" s="29">
        <v>0.971831</v>
      </c>
      <c r="I20" s="24">
        <v>0.23799999999999999</v>
      </c>
      <c r="J20" s="18"/>
      <c r="K20" s="1"/>
    </row>
    <row r="21" spans="1:11" ht="15.75" x14ac:dyDescent="0.25">
      <c r="A21" s="25">
        <v>19</v>
      </c>
      <c r="B21" s="23" t="s">
        <v>17</v>
      </c>
      <c r="C21" s="23">
        <v>20.18</v>
      </c>
      <c r="D21" s="23">
        <v>85.62</v>
      </c>
      <c r="E21" s="23">
        <v>75</v>
      </c>
      <c r="F21" s="28">
        <v>1448.9104942528734</v>
      </c>
      <c r="G21" s="28" cm="1">
        <f t="array" ref="G21">STDEV(Sheet2!T2:T30/AVERAGE(Sheet2!T2:T30))*100</f>
        <v>20.494831952696565</v>
      </c>
      <c r="H21" s="29">
        <v>1.0152840000000001</v>
      </c>
      <c r="I21" s="24">
        <v>8.8999999999999996E-2</v>
      </c>
      <c r="J21" s="18"/>
      <c r="K21" s="1"/>
    </row>
    <row r="22" spans="1:11" ht="15.75" x14ac:dyDescent="0.25">
      <c r="A22" s="25">
        <v>20</v>
      </c>
      <c r="B22" s="23" t="s">
        <v>18</v>
      </c>
      <c r="C22" s="23">
        <v>18.809999999999999</v>
      </c>
      <c r="D22" s="23">
        <v>82.71</v>
      </c>
      <c r="E22" s="23">
        <v>870</v>
      </c>
      <c r="F22" s="28">
        <v>1529.6344505494505</v>
      </c>
      <c r="G22" s="28" cm="1">
        <f t="array" ref="G22">STDEV(Sheet2!U2:U30/AVERAGE(Sheet2!U2:U30))*100</f>
        <v>17.413662498224209</v>
      </c>
      <c r="H22" s="29">
        <v>1.07185</v>
      </c>
      <c r="I22" s="24">
        <v>-9.7000000000000003E-2</v>
      </c>
      <c r="J22" s="18"/>
      <c r="K22" s="1"/>
    </row>
    <row r="23" spans="1:11" ht="15.75" x14ac:dyDescent="0.25">
      <c r="A23" s="25">
        <v>21</v>
      </c>
      <c r="B23" s="23" t="s">
        <v>19</v>
      </c>
      <c r="C23" s="23">
        <v>18.34</v>
      </c>
      <c r="D23" s="23">
        <v>81.88</v>
      </c>
      <c r="E23" s="23">
        <v>178</v>
      </c>
      <c r="F23" s="28">
        <v>1591.3381984517944</v>
      </c>
      <c r="G23" s="28" cm="1">
        <f t="array" ref="G23">STDEV(Sheet2!V17:V30/AVERAGE(Sheet2!V2:V30))*100</f>
        <v>18.834108567202019</v>
      </c>
      <c r="H23" s="29">
        <v>1.1150869999999999</v>
      </c>
      <c r="I23" s="24">
        <v>-4.8000000000000001E-2</v>
      </c>
      <c r="J23" s="18"/>
      <c r="K23" s="1"/>
    </row>
    <row r="24" spans="1:11" ht="15.75" x14ac:dyDescent="0.25">
      <c r="A24" s="25">
        <v>22</v>
      </c>
      <c r="B24" s="23" t="s">
        <v>20</v>
      </c>
      <c r="C24" s="23">
        <v>22</v>
      </c>
      <c r="D24" s="23">
        <v>86.41</v>
      </c>
      <c r="E24" s="23">
        <v>559</v>
      </c>
      <c r="F24" s="28">
        <v>1521.9222015915116</v>
      </c>
      <c r="G24" s="28" cm="1">
        <f t="array" ref="G24">STDEV(Sheet2!W2:W30/AVERAGE(Sheet2!W2:W30))*100</f>
        <v>18.253364842222059</v>
      </c>
      <c r="H24" s="29">
        <v>1.0664450000000001</v>
      </c>
      <c r="I24" s="24">
        <v>-0.155</v>
      </c>
      <c r="J24" s="18"/>
      <c r="K24" s="1"/>
    </row>
    <row r="25" spans="1:11" ht="17.25" customHeight="1" x14ac:dyDescent="0.25">
      <c r="A25" s="25">
        <v>23</v>
      </c>
      <c r="B25" s="23" t="s">
        <v>21</v>
      </c>
      <c r="C25" s="23">
        <v>19.22</v>
      </c>
      <c r="D25" s="23">
        <v>82.54</v>
      </c>
      <c r="E25" s="23">
        <v>557</v>
      </c>
      <c r="F25" s="28">
        <v>1603.2103448275861</v>
      </c>
      <c r="G25" s="28" cm="1">
        <f t="array" ref="G25">STDEV(Sheet2!X2:X30/AVERAGE(Sheet2!X2:X30))*100</f>
        <v>19.356497940193556</v>
      </c>
      <c r="H25" s="29">
        <v>1.1234059999999999</v>
      </c>
      <c r="I25" s="24">
        <v>7.9000000000000001E-2</v>
      </c>
      <c r="J25" s="18"/>
      <c r="K25" s="1"/>
    </row>
    <row r="26" spans="1:11" ht="15.75" x14ac:dyDescent="0.25">
      <c r="A26" s="25">
        <v>24</v>
      </c>
      <c r="B26" s="23" t="s">
        <v>22</v>
      </c>
      <c r="C26" s="23">
        <v>20.12</v>
      </c>
      <c r="D26" s="23">
        <v>85.1</v>
      </c>
      <c r="E26" s="23">
        <v>178</v>
      </c>
      <c r="F26" s="28">
        <v>1416.7230603448274</v>
      </c>
      <c r="G26" s="28" cm="1">
        <f t="array" ref="G26">STDEV(Sheet2!Y2:Y30/AVERAGE(Sheet2!Y2:Y30))*100</f>
        <v>19.685005663066484</v>
      </c>
      <c r="H26" s="29">
        <v>0.99273</v>
      </c>
      <c r="I26" s="24">
        <v>5.4999999999999997E-3</v>
      </c>
      <c r="J26" s="18"/>
      <c r="K26" s="1"/>
    </row>
    <row r="27" spans="1:11" ht="15.75" x14ac:dyDescent="0.25">
      <c r="A27" s="25">
        <v>25</v>
      </c>
      <c r="B27" s="23" t="s">
        <v>23</v>
      </c>
      <c r="C27" s="23">
        <v>20.8</v>
      </c>
      <c r="D27" s="23">
        <v>82.53</v>
      </c>
      <c r="E27" s="23">
        <v>365</v>
      </c>
      <c r="F27" s="28">
        <v>1142.5293793103451</v>
      </c>
      <c r="G27" s="28" cm="1">
        <f t="array" ref="G27">STDEV(Sheet2!Z2:Z30/AVERAGE(Sheet2!Z2:Z30))*100</f>
        <v>20.247518928890802</v>
      </c>
      <c r="H27" s="29">
        <v>0.80059599999999997</v>
      </c>
      <c r="I27" s="24">
        <v>-6.0000000000000001E-3</v>
      </c>
      <c r="J27" s="18"/>
      <c r="K27" s="1"/>
    </row>
    <row r="28" spans="1:11" ht="15.75" x14ac:dyDescent="0.25">
      <c r="A28" s="25">
        <v>26</v>
      </c>
      <c r="B28" s="23" t="s">
        <v>24</v>
      </c>
      <c r="C28" s="23">
        <v>19.809999999999999</v>
      </c>
      <c r="D28" s="23">
        <v>85.83</v>
      </c>
      <c r="E28" s="23">
        <v>1</v>
      </c>
      <c r="F28" s="28">
        <v>1444.9384012539183</v>
      </c>
      <c r="G28" s="28" cm="1">
        <f t="array" ref="G28">STDEV(Sheet2!AA2:AA30/AVERAGE(Sheet2!AA2:AA30))*100</f>
        <v>23.703197230793343</v>
      </c>
      <c r="H28" s="29">
        <v>1.0125010000000001</v>
      </c>
      <c r="I28" s="24">
        <v>6.4000000000000001E-2</v>
      </c>
      <c r="J28" s="18"/>
      <c r="K28" s="1"/>
    </row>
    <row r="29" spans="1:11" ht="15.75" x14ac:dyDescent="0.25">
      <c r="A29" s="25">
        <v>27</v>
      </c>
      <c r="B29" s="23" t="s">
        <v>25</v>
      </c>
      <c r="C29" s="23">
        <v>19.170000000000002</v>
      </c>
      <c r="D29" s="23">
        <v>83.41</v>
      </c>
      <c r="E29" s="23">
        <v>207</v>
      </c>
      <c r="F29" s="28">
        <v>1283.9185579937302</v>
      </c>
      <c r="G29" s="28" cm="1">
        <f t="array" ref="G29">STDEV(Sheet2!AB2:AB30/AVERAGE(Sheet2!AB2:AB30))*100</f>
        <v>18.869749288223254</v>
      </c>
      <c r="H29" s="29">
        <v>0.899671</v>
      </c>
      <c r="I29" s="24">
        <v>-0.25040000000000001</v>
      </c>
      <c r="J29" s="18"/>
      <c r="K29" s="1"/>
    </row>
    <row r="30" spans="1:11" ht="15.75" x14ac:dyDescent="0.25">
      <c r="A30" s="25">
        <v>28</v>
      </c>
      <c r="B30" s="23" t="s">
        <v>26</v>
      </c>
      <c r="C30" s="23">
        <v>21.46</v>
      </c>
      <c r="D30" s="23">
        <v>83.98</v>
      </c>
      <c r="E30" s="23">
        <v>150</v>
      </c>
      <c r="F30" s="28">
        <v>1450.8389655172414</v>
      </c>
      <c r="G30" s="28" cm="1">
        <f t="array" ref="G30">STDEV(Sheet2!AC2:AC30/AVERAGE(Sheet2!AC2:AC30))*100</f>
        <v>21.062830847000207</v>
      </c>
      <c r="H30" s="29">
        <v>1.0166360000000001</v>
      </c>
      <c r="I30" s="24">
        <v>0.246</v>
      </c>
      <c r="J30" s="18"/>
      <c r="K30" s="1"/>
    </row>
    <row r="31" spans="1:11" ht="15.75" x14ac:dyDescent="0.25">
      <c r="A31" s="25">
        <v>29</v>
      </c>
      <c r="B31" s="23" t="s">
        <v>30</v>
      </c>
      <c r="C31" s="23">
        <v>20.84</v>
      </c>
      <c r="D31" s="23">
        <v>83.89</v>
      </c>
      <c r="E31" s="23">
        <v>121</v>
      </c>
      <c r="F31" s="28">
        <v>1350.6857471264368</v>
      </c>
      <c r="G31" s="28" cm="1">
        <f t="array" ref="G31">STDEV(Sheet2!AD2:AD30/AVERAGE(Sheet2!AD2:AD30))*100</f>
        <v>23.09644927949644</v>
      </c>
      <c r="H31" s="29">
        <v>0.94645599999999996</v>
      </c>
      <c r="I31" s="24">
        <v>2.0500000000000001E-2</v>
      </c>
      <c r="J31" s="18"/>
      <c r="K31" s="1"/>
    </row>
    <row r="32" spans="1:11" ht="16.5" customHeight="1" x14ac:dyDescent="0.25">
      <c r="A32" s="30">
        <v>30</v>
      </c>
      <c r="B32" s="44" t="s">
        <v>27</v>
      </c>
      <c r="C32" s="44">
        <v>22.12</v>
      </c>
      <c r="D32" s="44">
        <v>84.03</v>
      </c>
      <c r="E32" s="44">
        <v>243</v>
      </c>
      <c r="F32" s="45">
        <v>1307.7022983304726</v>
      </c>
      <c r="G32" s="45" cm="1">
        <f t="array" ref="G32">STDEV(Sheet2!AE2:AE30/AVERAGE(Sheet2!AE2:AE30))*100</f>
        <v>14.924869898668151</v>
      </c>
      <c r="H32" s="46">
        <v>0.91633699999999996</v>
      </c>
      <c r="I32" s="47">
        <v>-0.18099999999999999</v>
      </c>
      <c r="J32" s="18"/>
      <c r="K32" s="1"/>
    </row>
    <row r="33" spans="1:30" ht="15.75" x14ac:dyDescent="0.25">
      <c r="A33" s="1"/>
      <c r="B33" s="5"/>
      <c r="C33" s="5"/>
      <c r="D33" s="5"/>
      <c r="E33" s="5"/>
      <c r="F33" s="1"/>
      <c r="G33" s="1"/>
      <c r="H33" s="1"/>
      <c r="I33" s="1"/>
      <c r="J33" s="1"/>
      <c r="K33" s="1"/>
    </row>
    <row r="36" spans="1:30" x14ac:dyDescent="0.25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</sheetData>
  <mergeCells count="5">
    <mergeCell ref="A1:A2"/>
    <mergeCell ref="B1:B2"/>
    <mergeCell ref="C1:D1"/>
    <mergeCell ref="E1:E2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1D64-C6AF-4F1E-ADD3-DBD849B8D422}">
  <dimension ref="A1:AE34"/>
  <sheetViews>
    <sheetView zoomScale="71" zoomScaleNormal="71" workbookViewId="0">
      <selection activeCell="B2" sqref="B2"/>
    </sheetView>
  </sheetViews>
  <sheetFormatPr defaultRowHeight="15" x14ac:dyDescent="0.25"/>
  <sheetData>
    <row r="1" spans="1:31" ht="15.75" x14ac:dyDescent="0.25">
      <c r="A1" s="6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24</v>
      </c>
      <c r="AB1" s="7" t="s">
        <v>64</v>
      </c>
      <c r="AC1" s="7" t="s">
        <v>65</v>
      </c>
      <c r="AD1" s="7" t="s">
        <v>66</v>
      </c>
      <c r="AE1" s="7" t="s">
        <v>67</v>
      </c>
    </row>
    <row r="2" spans="1:31" ht="15.75" x14ac:dyDescent="0.25">
      <c r="A2" s="6">
        <v>1995</v>
      </c>
      <c r="B2" s="8">
        <v>1308.0696428571428</v>
      </c>
      <c r="C2" s="8">
        <v>2190.4833333333331</v>
      </c>
      <c r="D2" s="8">
        <v>1259.4333333333332</v>
      </c>
      <c r="E2" s="8">
        <v>1725.8142857142859</v>
      </c>
      <c r="F2" s="8">
        <v>1474.542857142857</v>
      </c>
      <c r="G2" s="8">
        <v>1236.6666666666665</v>
      </c>
      <c r="H2" s="8">
        <v>1639.0769230769231</v>
      </c>
      <c r="I2" s="8">
        <v>1228.6333333333334</v>
      </c>
      <c r="J2" s="8">
        <v>1745.3125</v>
      </c>
      <c r="K2" s="8">
        <v>1982.4624999999999</v>
      </c>
      <c r="L2" s="8">
        <v>1963.6590909090905</v>
      </c>
      <c r="M2" s="8">
        <v>1769.075</v>
      </c>
      <c r="N2" s="8">
        <v>2154.7000000000003</v>
      </c>
      <c r="O2" s="8">
        <v>1492.1599999999999</v>
      </c>
      <c r="P2" s="8">
        <v>1590.3</v>
      </c>
      <c r="Q2" s="8">
        <v>1842.8916666666669</v>
      </c>
      <c r="R2" s="8">
        <v>1906.9777777777781</v>
      </c>
      <c r="S2" s="8">
        <v>1179.1538461538462</v>
      </c>
      <c r="T2" s="8">
        <v>1858.4109999999998</v>
      </c>
      <c r="U2" s="8">
        <v>1531.2642857142855</v>
      </c>
      <c r="V2" s="8">
        <v>1465.4142857142861</v>
      </c>
      <c r="W2" s="8">
        <v>1598.7230769230771</v>
      </c>
      <c r="X2" s="8">
        <v>1499.2799999999997</v>
      </c>
      <c r="Y2" s="8">
        <v>1804.2750000000001</v>
      </c>
      <c r="Z2" s="8">
        <v>1140.7400000000002</v>
      </c>
      <c r="AA2" s="8">
        <v>2115.9818181818182</v>
      </c>
      <c r="AB2" s="8">
        <v>1450.3545454545456</v>
      </c>
      <c r="AC2" s="8">
        <v>1368.0666666666666</v>
      </c>
      <c r="AD2" s="8">
        <v>1436.7499999999998</v>
      </c>
      <c r="AE2" s="8">
        <v>1233.3470588235298</v>
      </c>
    </row>
    <row r="3" spans="1:31" ht="15.75" x14ac:dyDescent="0.25">
      <c r="A3" s="6">
        <v>1996</v>
      </c>
      <c r="B3" s="8">
        <v>959.3</v>
      </c>
      <c r="C3" s="8">
        <v>1410.8166666666666</v>
      </c>
      <c r="D3" s="8">
        <v>823.75833333333333</v>
      </c>
      <c r="E3" s="8">
        <v>1158.4428571428571</v>
      </c>
      <c r="F3" s="8">
        <v>724.35714285714278</v>
      </c>
      <c r="G3" s="8">
        <v>578.76666666666665</v>
      </c>
      <c r="H3" s="8">
        <v>813.40769230769217</v>
      </c>
      <c r="I3" s="8">
        <v>1336.8999999999999</v>
      </c>
      <c r="J3" s="8">
        <v>1021.4125</v>
      </c>
      <c r="K3" s="8">
        <v>901.36250000000018</v>
      </c>
      <c r="L3" s="8">
        <v>871.34090909090901</v>
      </c>
      <c r="M3" s="8">
        <v>824.7</v>
      </c>
      <c r="N3" s="8">
        <v>1020.9699999999999</v>
      </c>
      <c r="O3" s="8">
        <v>1225.02</v>
      </c>
      <c r="P3" s="8">
        <v>1045.3923076923077</v>
      </c>
      <c r="Q3" s="8">
        <v>1093.0250000000001</v>
      </c>
      <c r="R3" s="8">
        <v>980.35555555555561</v>
      </c>
      <c r="S3" s="8">
        <v>927.72307692307697</v>
      </c>
      <c r="T3" s="8">
        <v>778.19</v>
      </c>
      <c r="U3" s="8">
        <v>1264.6285714285716</v>
      </c>
      <c r="V3" s="8">
        <v>1515.8142857142857</v>
      </c>
      <c r="W3" s="8">
        <v>1188.7038461538464</v>
      </c>
      <c r="X3" s="8">
        <v>1261.7299999999998</v>
      </c>
      <c r="Y3" s="8">
        <v>784.3125</v>
      </c>
      <c r="Z3" s="8">
        <v>663.56</v>
      </c>
      <c r="AA3" s="8">
        <v>782.65454545454554</v>
      </c>
      <c r="AB3" s="8">
        <v>950.36363636363626</v>
      </c>
      <c r="AC3" s="8">
        <v>1045.1111111111109</v>
      </c>
      <c r="AD3" s="8">
        <v>745.35</v>
      </c>
      <c r="AE3" s="8">
        <v>1072.164705882353</v>
      </c>
    </row>
    <row r="4" spans="1:31" ht="15.75" x14ac:dyDescent="0.25">
      <c r="A4" s="6">
        <v>1997</v>
      </c>
      <c r="B4" s="8">
        <v>1478.1375</v>
      </c>
      <c r="C4" s="8">
        <v>2232.5666666666666</v>
      </c>
      <c r="D4" s="8">
        <v>1549.3416666666667</v>
      </c>
      <c r="E4" s="8">
        <v>1707.2857142857144</v>
      </c>
      <c r="F4" s="8">
        <v>1311.1357142857144</v>
      </c>
      <c r="G4" s="8">
        <v>1401.0000000000002</v>
      </c>
      <c r="H4" s="8">
        <v>1653</v>
      </c>
      <c r="I4" s="8">
        <v>1292.3</v>
      </c>
      <c r="J4" s="8">
        <v>1610.9124999999999</v>
      </c>
      <c r="K4" s="8">
        <v>1335.7249999999999</v>
      </c>
      <c r="L4" s="8">
        <v>1227.7590909090907</v>
      </c>
      <c r="M4" s="8">
        <v>1814.7124999999999</v>
      </c>
      <c r="N4" s="8">
        <v>1771.8</v>
      </c>
      <c r="O4" s="8">
        <v>1079.52</v>
      </c>
      <c r="P4" s="8">
        <v>1629.4076923076923</v>
      </c>
      <c r="Q4" s="8">
        <v>1768.5916666666665</v>
      </c>
      <c r="R4" s="8">
        <v>1754.7000000000003</v>
      </c>
      <c r="S4" s="8">
        <v>1445.8461538461536</v>
      </c>
      <c r="T4" s="8">
        <v>1482.2499999999998</v>
      </c>
      <c r="U4" s="8">
        <v>1293.4285714285713</v>
      </c>
      <c r="V4" s="8">
        <v>1217.6714285714286</v>
      </c>
      <c r="W4" s="8">
        <v>1736.4384615384615</v>
      </c>
      <c r="X4" s="8">
        <v>1355.9200000000003</v>
      </c>
      <c r="Y4" s="8">
        <v>1440.0374999999999</v>
      </c>
      <c r="Z4" s="8">
        <v>1193.7399999999998</v>
      </c>
      <c r="AA4" s="8">
        <v>1592.7272727272725</v>
      </c>
      <c r="AB4" s="8">
        <v>1127.8454545454547</v>
      </c>
      <c r="AC4" s="8">
        <v>1483.5</v>
      </c>
      <c r="AD4" s="8">
        <v>1797.6166666666666</v>
      </c>
      <c r="AE4" s="8">
        <v>1292.5076470588235</v>
      </c>
    </row>
    <row r="5" spans="1:31" ht="15.75" x14ac:dyDescent="0.25">
      <c r="A5" s="6">
        <v>1998</v>
      </c>
      <c r="B5" s="8">
        <v>1108.1500000000001</v>
      </c>
      <c r="C5" s="8">
        <v>1608.075</v>
      </c>
      <c r="D5" s="8">
        <v>1156.8083333333334</v>
      </c>
      <c r="E5" s="8">
        <v>1202.0880952380953</v>
      </c>
      <c r="F5" s="8">
        <v>914.92142857142858</v>
      </c>
      <c r="G5" s="8">
        <v>860.9666666666667</v>
      </c>
      <c r="H5" s="8">
        <v>1445.476923076923</v>
      </c>
      <c r="I5" s="8">
        <v>1183.0333333333335</v>
      </c>
      <c r="J5" s="8">
        <v>1343.0124999999998</v>
      </c>
      <c r="K5" s="8">
        <v>1248.1499999999999</v>
      </c>
      <c r="L5" s="8">
        <v>1374.0318181818182</v>
      </c>
      <c r="M5" s="8">
        <v>1903.7125000000001</v>
      </c>
      <c r="N5" s="8">
        <v>1446.4999999999998</v>
      </c>
      <c r="O5" s="8">
        <v>1176.2600000000002</v>
      </c>
      <c r="P5" s="8">
        <v>1126.0076923076922</v>
      </c>
      <c r="Q5" s="8">
        <v>1477.8916666666669</v>
      </c>
      <c r="R5" s="8">
        <v>1271.411111111111</v>
      </c>
      <c r="S5" s="8">
        <v>1154.4230769230769</v>
      </c>
      <c r="T5" s="8">
        <v>1509.4199999999998</v>
      </c>
      <c r="U5" s="8">
        <v>1278.8928571428571</v>
      </c>
      <c r="V5" s="8">
        <v>1411.6</v>
      </c>
      <c r="W5" s="8">
        <v>1247.9269230769232</v>
      </c>
      <c r="X5" s="8">
        <v>1219.29</v>
      </c>
      <c r="Y5" s="8">
        <v>1238.6375</v>
      </c>
      <c r="Z5" s="8">
        <v>1165.6599999999999</v>
      </c>
      <c r="AA5" s="8">
        <v>1707.8727272727272</v>
      </c>
      <c r="AB5" s="8">
        <v>1329.1454545454544</v>
      </c>
      <c r="AC5" s="8">
        <v>992.40000000000009</v>
      </c>
      <c r="AD5" s="8">
        <v>973.46666666666658</v>
      </c>
      <c r="AE5" s="8">
        <v>1271.0352941176468</v>
      </c>
    </row>
    <row r="6" spans="1:31" ht="15.75" x14ac:dyDescent="0.25">
      <c r="A6" s="6">
        <v>1999</v>
      </c>
      <c r="B6" s="8">
        <v>1350.0875000000001</v>
      </c>
      <c r="C6" s="8">
        <v>2183.2499999999995</v>
      </c>
      <c r="D6" s="8">
        <v>1251.0333333333333</v>
      </c>
      <c r="E6" s="8">
        <v>1730.9166666666665</v>
      </c>
      <c r="F6" s="8">
        <v>943.85714285714289</v>
      </c>
      <c r="G6" s="8">
        <v>1039.4000000000001</v>
      </c>
      <c r="H6" s="8">
        <v>1808.894871794872</v>
      </c>
      <c r="I6" s="8">
        <v>1443.9000000000003</v>
      </c>
      <c r="J6" s="8">
        <v>1542.2249999999999</v>
      </c>
      <c r="K6" s="8">
        <v>1049.7750000000001</v>
      </c>
      <c r="L6" s="8">
        <v>1227.1772727272726</v>
      </c>
      <c r="M6" s="8">
        <v>1720.8125</v>
      </c>
      <c r="N6" s="8">
        <v>2079</v>
      </c>
      <c r="O6" s="8">
        <v>1182.5650000000003</v>
      </c>
      <c r="P6" s="8">
        <v>1209.8999999999999</v>
      </c>
      <c r="Q6" s="8">
        <v>1363.2583333333332</v>
      </c>
      <c r="R6" s="8">
        <v>2072.0555555555557</v>
      </c>
      <c r="S6" s="8">
        <v>1595.4538461538461</v>
      </c>
      <c r="T6" s="8">
        <v>1473.42</v>
      </c>
      <c r="U6" s="8">
        <v>1484.2164285714287</v>
      </c>
      <c r="V6" s="8">
        <v>1748.2285714285715</v>
      </c>
      <c r="W6" s="8">
        <v>1670.3</v>
      </c>
      <c r="X6" s="8">
        <v>1434.4199999999998</v>
      </c>
      <c r="Y6" s="8">
        <v>1060.25</v>
      </c>
      <c r="Z6" s="8">
        <v>1062.78</v>
      </c>
      <c r="AA6" s="8">
        <v>1559.572727272727</v>
      </c>
      <c r="AB6" s="8">
        <v>885.9909090909091</v>
      </c>
      <c r="AC6" s="8">
        <v>1275.6444444444442</v>
      </c>
      <c r="AD6" s="8">
        <v>1156.9166666666665</v>
      </c>
      <c r="AE6" s="8">
        <v>1494.3588235294119</v>
      </c>
    </row>
    <row r="7" spans="1:31" ht="15.75" x14ac:dyDescent="0.25">
      <c r="A7" s="6">
        <v>2000</v>
      </c>
      <c r="B7" s="9">
        <v>896.5</v>
      </c>
      <c r="C7" s="9">
        <v>1492.5</v>
      </c>
      <c r="D7" s="9">
        <v>843</v>
      </c>
      <c r="E7" s="9">
        <v>1017.7</v>
      </c>
      <c r="F7" s="9">
        <v>812.3</v>
      </c>
      <c r="G7" s="9">
        <v>983.8</v>
      </c>
      <c r="H7" s="9">
        <v>977.8</v>
      </c>
      <c r="I7" s="9">
        <v>813.3</v>
      </c>
      <c r="J7" s="9">
        <v>1016.3</v>
      </c>
      <c r="K7" s="9">
        <v>1166.4000000000001</v>
      </c>
      <c r="L7" s="9">
        <v>1014</v>
      </c>
      <c r="M7" s="9">
        <v>835</v>
      </c>
      <c r="N7" s="9">
        <v>1014.3</v>
      </c>
      <c r="O7" s="9">
        <v>631.20000000000005</v>
      </c>
      <c r="P7" s="9">
        <v>1291.8</v>
      </c>
      <c r="Q7" s="9">
        <v>1275.5999999999999</v>
      </c>
      <c r="R7" s="9">
        <v>873.9</v>
      </c>
      <c r="S7" s="9">
        <v>1160.9000000000001</v>
      </c>
      <c r="T7" s="9">
        <v>1098</v>
      </c>
      <c r="U7" s="9">
        <v>1359.1</v>
      </c>
      <c r="V7" s="9">
        <v>1296.5</v>
      </c>
      <c r="W7" s="9">
        <v>1286.2</v>
      </c>
      <c r="X7" s="9">
        <v>1290.9000000000001</v>
      </c>
      <c r="Y7" s="9">
        <v>1190.0999999999999</v>
      </c>
      <c r="Z7" s="9">
        <v>684.5</v>
      </c>
      <c r="AA7" s="9">
        <v>986.2</v>
      </c>
      <c r="AB7" s="9">
        <v>877</v>
      </c>
      <c r="AC7" s="9">
        <v>821.3</v>
      </c>
      <c r="AD7" s="9">
        <v>1008.2</v>
      </c>
      <c r="AE7" s="9">
        <v>977</v>
      </c>
    </row>
    <row r="8" spans="1:31" ht="15.75" x14ac:dyDescent="0.25">
      <c r="A8" s="6">
        <v>2002</v>
      </c>
      <c r="B8" s="8">
        <v>1663.3500000000006</v>
      </c>
      <c r="C8" s="8">
        <v>1842.1479545454547</v>
      </c>
      <c r="D8" s="8">
        <v>1525.2833333333335</v>
      </c>
      <c r="E8" s="8">
        <v>1630.1285714285714</v>
      </c>
      <c r="F8" s="8">
        <v>1604.9846153846156</v>
      </c>
      <c r="G8" s="8">
        <v>1461.6666666666667</v>
      </c>
      <c r="H8" s="8">
        <v>1898.4923076923078</v>
      </c>
      <c r="I8" s="8">
        <v>1668</v>
      </c>
      <c r="J8" s="8">
        <v>1614</v>
      </c>
      <c r="K8" s="8">
        <v>1198.3500000000001</v>
      </c>
      <c r="L8" s="8">
        <v>1376.772727272727</v>
      </c>
      <c r="M8" s="8">
        <v>1504.2875000000001</v>
      </c>
      <c r="N8" s="8">
        <v>1432.8999999999999</v>
      </c>
      <c r="O8" s="8">
        <v>1374.8999999999999</v>
      </c>
      <c r="P8" s="8">
        <v>2367.2692307692305</v>
      </c>
      <c r="Q8" s="8">
        <v>1964.3249999999998</v>
      </c>
      <c r="R8" s="8">
        <v>1211.8999999999999</v>
      </c>
      <c r="S8" s="8">
        <v>1390.653846153846</v>
      </c>
      <c r="T8" s="8">
        <v>2057.7700000000004</v>
      </c>
      <c r="U8" s="8">
        <v>1630.4185714285716</v>
      </c>
      <c r="V8" s="8">
        <v>1173.971428571429</v>
      </c>
      <c r="W8" s="8">
        <v>1652.7038461538461</v>
      </c>
      <c r="X8" s="8">
        <v>1802.83</v>
      </c>
      <c r="Y8" s="8">
        <v>1822.5249999999999</v>
      </c>
      <c r="Z8" s="8">
        <v>1228.8800000000001</v>
      </c>
      <c r="AA8" s="8">
        <v>2023.4818181818184</v>
      </c>
      <c r="AB8" s="8">
        <v>1199.6727272727271</v>
      </c>
      <c r="AC8" s="8">
        <v>1794.0555555555554</v>
      </c>
      <c r="AD8" s="8">
        <v>1866.5166666666671</v>
      </c>
      <c r="AE8" s="8">
        <v>1720.0390950226242</v>
      </c>
    </row>
    <row r="9" spans="1:31" ht="15.75" x14ac:dyDescent="0.25">
      <c r="A9" s="6">
        <v>2002</v>
      </c>
      <c r="B9" s="8">
        <v>900.48749999999995</v>
      </c>
      <c r="C9" s="8">
        <v>1320.825</v>
      </c>
      <c r="D9" s="8">
        <v>876.9</v>
      </c>
      <c r="E9" s="8">
        <v>1060.7523809523809</v>
      </c>
      <c r="F9" s="8">
        <v>831.43516483516487</v>
      </c>
      <c r="G9" s="8">
        <v>1209.3333333333333</v>
      </c>
      <c r="H9" s="8">
        <v>1042.3846153846152</v>
      </c>
      <c r="I9" s="8">
        <v>965.5333333333333</v>
      </c>
      <c r="J9" s="8">
        <v>1021.8625</v>
      </c>
      <c r="K9" s="8">
        <v>963.16250000000002</v>
      </c>
      <c r="L9" s="8">
        <v>951.68181818181824</v>
      </c>
      <c r="M9" s="8">
        <v>1047.1125</v>
      </c>
      <c r="N9" s="8">
        <v>1024.55</v>
      </c>
      <c r="O9" s="8">
        <v>979.68000000000006</v>
      </c>
      <c r="P9" s="8">
        <v>886.76923076923072</v>
      </c>
      <c r="Q9" s="8">
        <v>1264.1916666666666</v>
      </c>
      <c r="R9" s="8">
        <v>864.13333333333333</v>
      </c>
      <c r="S9" s="8">
        <v>862.03076923076912</v>
      </c>
      <c r="T9" s="8">
        <v>1188.8999999999999</v>
      </c>
      <c r="U9" s="8">
        <v>1006.6142857142859</v>
      </c>
      <c r="V9" s="8">
        <v>945.10000000000014</v>
      </c>
      <c r="W9" s="8">
        <v>1177.9115384615386</v>
      </c>
      <c r="X9" s="8">
        <v>1000.4799999999999</v>
      </c>
      <c r="Y9" s="8">
        <v>1069.3874999999998</v>
      </c>
      <c r="Z9" s="8">
        <v>670.06000000000017</v>
      </c>
      <c r="AA9" s="8">
        <v>1057</v>
      </c>
      <c r="AB9" s="8">
        <v>905</v>
      </c>
      <c r="AC9" s="8">
        <v>1048.6888888888889</v>
      </c>
      <c r="AD9" s="8">
        <v>1119.5</v>
      </c>
      <c r="AE9" s="8">
        <v>1038.3081447963802</v>
      </c>
    </row>
    <row r="10" spans="1:31" ht="15.75" x14ac:dyDescent="0.25">
      <c r="A10" s="6">
        <v>2003</v>
      </c>
      <c r="B10" s="8">
        <v>1794.0999999999997</v>
      </c>
      <c r="C10" s="8">
        <v>1775.3750000000002</v>
      </c>
      <c r="D10" s="8">
        <v>1532.8483333333336</v>
      </c>
      <c r="E10" s="8">
        <v>2052.5714285714289</v>
      </c>
      <c r="F10" s="8">
        <v>1672.7257142857143</v>
      </c>
      <c r="G10" s="8">
        <v>1847.9066666666668</v>
      </c>
      <c r="H10" s="8">
        <v>1772.2230769230769</v>
      </c>
      <c r="I10" s="8">
        <v>1613.0333333333338</v>
      </c>
      <c r="J10" s="8">
        <v>1591.5</v>
      </c>
      <c r="K10" s="8">
        <v>1581.9050000000002</v>
      </c>
      <c r="L10" s="8">
        <v>1466.4545454545453</v>
      </c>
      <c r="M10" s="8">
        <v>1702.625</v>
      </c>
      <c r="N10" s="8">
        <v>1990.3</v>
      </c>
      <c r="O10" s="8">
        <v>1651.68</v>
      </c>
      <c r="P10" s="8">
        <v>2081.853846153846</v>
      </c>
      <c r="Q10" s="8">
        <v>2095.9708333333333</v>
      </c>
      <c r="R10" s="8">
        <v>2020.9555555555557</v>
      </c>
      <c r="S10" s="8">
        <v>1385.7923076923075</v>
      </c>
      <c r="T10" s="8">
        <v>1867.4999999999998</v>
      </c>
      <c r="U10" s="8">
        <v>1428.007142857143</v>
      </c>
      <c r="V10" s="8">
        <v>1757.3428571428572</v>
      </c>
      <c r="W10" s="8">
        <v>1413.4576923076925</v>
      </c>
      <c r="X10" s="8">
        <v>1594.75</v>
      </c>
      <c r="Y10" s="8">
        <v>1629.0500000000002</v>
      </c>
      <c r="Z10" s="8">
        <v>1301.0840000000001</v>
      </c>
      <c r="AA10" s="8">
        <v>1466</v>
      </c>
      <c r="AB10" s="8">
        <v>1324.6454545454544</v>
      </c>
      <c r="AC10" s="8">
        <v>1681.3444444444444</v>
      </c>
      <c r="AD10" s="8">
        <v>1504.1166666666668</v>
      </c>
      <c r="AE10" s="8">
        <v>1413.8670588235293</v>
      </c>
    </row>
    <row r="11" spans="1:31" ht="15.75" x14ac:dyDescent="0.25">
      <c r="A11" s="6">
        <v>2004</v>
      </c>
      <c r="B11" s="8">
        <v>1339.8250000000003</v>
      </c>
      <c r="C11" s="8">
        <v>1590.5250000000001</v>
      </c>
      <c r="D11" s="8">
        <v>1022.9041666666666</v>
      </c>
      <c r="E11" s="8">
        <v>1437.1000000000001</v>
      </c>
      <c r="F11" s="8">
        <v>1121.4607142857144</v>
      </c>
      <c r="G11" s="8">
        <v>1456.6666666666667</v>
      </c>
      <c r="H11" s="8">
        <v>1398.9230769230771</v>
      </c>
      <c r="I11" s="8">
        <v>868.69333333333338</v>
      </c>
      <c r="J11" s="8">
        <v>1046.25</v>
      </c>
      <c r="K11" s="8">
        <v>1281.0350000000001</v>
      </c>
      <c r="L11" s="8">
        <v>979.37272727272727</v>
      </c>
      <c r="M11" s="8">
        <v>1203.375</v>
      </c>
      <c r="N11" s="8">
        <v>1418.7</v>
      </c>
      <c r="O11" s="8">
        <v>1222.8000000000002</v>
      </c>
      <c r="P11" s="8">
        <v>1743.3846153846155</v>
      </c>
      <c r="Q11" s="8">
        <v>1545.2333333333336</v>
      </c>
      <c r="R11" s="8">
        <v>1383.2222222222224</v>
      </c>
      <c r="S11" s="8">
        <v>1096.9980769230767</v>
      </c>
      <c r="T11" s="8">
        <v>1055.3</v>
      </c>
      <c r="U11" s="8">
        <v>1401.5728571428569</v>
      </c>
      <c r="V11" s="8">
        <v>1588.2428571428572</v>
      </c>
      <c r="W11" s="8">
        <v>1294.2692307692305</v>
      </c>
      <c r="X11" s="8">
        <v>1692.4319999999998</v>
      </c>
      <c r="Y11" s="8">
        <v>1226.6874999999998</v>
      </c>
      <c r="Z11" s="8">
        <v>867.56000000000006</v>
      </c>
      <c r="AA11" s="8">
        <v>1043.9636363636364</v>
      </c>
      <c r="AB11" s="8">
        <v>1304.3563636363635</v>
      </c>
      <c r="AC11" s="8">
        <v>1317.5222222222224</v>
      </c>
      <c r="AD11" s="8">
        <v>1115.8499999999999</v>
      </c>
      <c r="AE11" s="8">
        <v>1147.4176470588234</v>
      </c>
    </row>
    <row r="12" spans="1:31" ht="15.75" x14ac:dyDescent="0.25">
      <c r="A12" s="6">
        <v>2005</v>
      </c>
      <c r="B12" s="8">
        <v>1714.1712500000001</v>
      </c>
      <c r="C12" s="8">
        <v>2071.1416666666669</v>
      </c>
      <c r="D12" s="8">
        <v>1200.4583333333335</v>
      </c>
      <c r="E12" s="8">
        <v>1686.5571428571432</v>
      </c>
      <c r="F12" s="8">
        <v>1146.7200000000003</v>
      </c>
      <c r="G12" s="8">
        <v>1502.3333333333333</v>
      </c>
      <c r="H12" s="8">
        <v>2011.3076923076922</v>
      </c>
      <c r="I12" s="8">
        <v>1202.9666666666665</v>
      </c>
      <c r="J12" s="8">
        <v>1740.9500000000003</v>
      </c>
      <c r="K12" s="8">
        <v>1452.6</v>
      </c>
      <c r="L12" s="8">
        <v>1359.0909090909088</v>
      </c>
      <c r="M12" s="8">
        <v>1621.7249999999999</v>
      </c>
      <c r="N12" s="8">
        <v>1810.3000000000002</v>
      </c>
      <c r="O12" s="8">
        <v>1316.8</v>
      </c>
      <c r="P12" s="8">
        <v>1397.9923076923076</v>
      </c>
      <c r="Q12" s="8">
        <v>1948.3541666666665</v>
      </c>
      <c r="R12" s="8">
        <v>1782.9444444444441</v>
      </c>
      <c r="S12" s="8">
        <v>1618.5161538461541</v>
      </c>
      <c r="T12" s="8">
        <v>1436.1399999999999</v>
      </c>
      <c r="U12" s="8">
        <v>1345.0314285714287</v>
      </c>
      <c r="V12" s="8">
        <v>1384.8328571428574</v>
      </c>
      <c r="W12" s="8">
        <v>1670.6576923076923</v>
      </c>
      <c r="X12" s="8">
        <v>1599.538</v>
      </c>
      <c r="Y12" s="8">
        <v>1751.8125</v>
      </c>
      <c r="Z12" s="8">
        <v>873.49999999999977</v>
      </c>
      <c r="AA12" s="8">
        <v>1527.4454545454546</v>
      </c>
      <c r="AB12" s="8">
        <v>1222.9454545454546</v>
      </c>
      <c r="AC12" s="8">
        <v>1698.0444444444447</v>
      </c>
      <c r="AD12" s="8">
        <v>1249.1333333333334</v>
      </c>
      <c r="AE12" s="8">
        <v>1241.8588235294119</v>
      </c>
    </row>
    <row r="13" spans="1:31" ht="15.75" x14ac:dyDescent="0.25">
      <c r="A13" s="6">
        <v>2006</v>
      </c>
      <c r="B13" s="8">
        <v>1344.1499999999999</v>
      </c>
      <c r="C13" s="8">
        <v>1773.7249999999999</v>
      </c>
      <c r="D13" s="8">
        <v>1673.416666666667</v>
      </c>
      <c r="E13" s="8">
        <v>1350.5428571428572</v>
      </c>
      <c r="F13" s="8">
        <v>1718.7142857142856</v>
      </c>
      <c r="G13" s="8">
        <v>1730.5400000000002</v>
      </c>
      <c r="H13" s="8">
        <v>1927.1538461538462</v>
      </c>
      <c r="I13" s="8">
        <v>1142.3</v>
      </c>
      <c r="J13" s="8">
        <v>1384.5749999999998</v>
      </c>
      <c r="K13" s="8">
        <v>1706.3537499999998</v>
      </c>
      <c r="L13" s="8">
        <v>1482.409090909091</v>
      </c>
      <c r="M13" s="8">
        <v>1609.325</v>
      </c>
      <c r="N13" s="8">
        <v>1650.6</v>
      </c>
      <c r="O13" s="8">
        <v>1258</v>
      </c>
      <c r="P13" s="8">
        <v>2244.3615384615387</v>
      </c>
      <c r="Q13" s="8">
        <v>2369.9166666666665</v>
      </c>
      <c r="R13" s="8">
        <v>1426.3666666666663</v>
      </c>
      <c r="S13" s="8">
        <v>1551.2646153846151</v>
      </c>
      <c r="T13" s="8">
        <v>1685.1499999999996</v>
      </c>
      <c r="U13" s="8">
        <v>1952.5721428571428</v>
      </c>
      <c r="V13" s="8">
        <v>1917.6142857142859</v>
      </c>
      <c r="W13" s="8">
        <v>1821.2038461538464</v>
      </c>
      <c r="X13" s="8">
        <v>2151.4600000000005</v>
      </c>
      <c r="Y13" s="8">
        <v>1379.2875000000001</v>
      </c>
      <c r="Z13" s="8">
        <v>1449.5</v>
      </c>
      <c r="AA13" s="8">
        <v>1932.7363636363634</v>
      </c>
      <c r="AB13" s="8">
        <v>1977.2181818181821</v>
      </c>
      <c r="AC13" s="8">
        <v>1790.6777777777779</v>
      </c>
      <c r="AD13" s="8">
        <v>1885.0999999999997</v>
      </c>
      <c r="AE13" s="8">
        <v>1213.8711764705884</v>
      </c>
    </row>
    <row r="14" spans="1:31" ht="15.75" x14ac:dyDescent="0.25">
      <c r="A14" s="6">
        <v>2007</v>
      </c>
      <c r="B14" s="8">
        <v>1237.25</v>
      </c>
      <c r="C14" s="8">
        <v>2185.8583333333336</v>
      </c>
      <c r="D14" s="8">
        <v>1241.5833333333335</v>
      </c>
      <c r="E14" s="8">
        <v>1434.8999999999999</v>
      </c>
      <c r="F14" s="8">
        <v>1389.6357142857144</v>
      </c>
      <c r="G14" s="8">
        <v>1384.6333333333332</v>
      </c>
      <c r="H14" s="8">
        <v>1842.153846153846</v>
      </c>
      <c r="I14" s="8">
        <v>1441.9666666666667</v>
      </c>
      <c r="J14" s="8">
        <v>1299.9875</v>
      </c>
      <c r="K14" s="8">
        <v>1325.1324999999997</v>
      </c>
      <c r="L14" s="8">
        <v>1320.4545454545453</v>
      </c>
      <c r="M14" s="8">
        <v>1452.7874999999999</v>
      </c>
      <c r="N14" s="8">
        <v>1723.6</v>
      </c>
      <c r="O14" s="8">
        <v>1684.0000000000002</v>
      </c>
      <c r="P14" s="8">
        <v>1877.3153846153843</v>
      </c>
      <c r="Q14" s="8">
        <v>1833.3833333333332</v>
      </c>
      <c r="R14" s="8">
        <v>1638.8</v>
      </c>
      <c r="S14" s="8">
        <v>1907.5846153846153</v>
      </c>
      <c r="T14" s="8">
        <v>1411.5099999999998</v>
      </c>
      <c r="U14" s="8">
        <v>1746.3071428571427</v>
      </c>
      <c r="V14" s="8">
        <v>1854.2</v>
      </c>
      <c r="W14" s="8">
        <v>2037.7323076923076</v>
      </c>
      <c r="X14" s="8">
        <v>2293.62</v>
      </c>
      <c r="Y14" s="8">
        <v>1449.5625</v>
      </c>
      <c r="Z14" s="8">
        <v>1295.7</v>
      </c>
      <c r="AA14" s="8">
        <v>1340.1545454545453</v>
      </c>
      <c r="AB14" s="8">
        <v>1505.272727272727</v>
      </c>
      <c r="AC14" s="8">
        <v>1732.9555555555551</v>
      </c>
      <c r="AD14" s="8">
        <v>1314.083333333333</v>
      </c>
      <c r="AE14" s="8">
        <v>1564.1705882352942</v>
      </c>
    </row>
    <row r="15" spans="1:31" ht="15.75" x14ac:dyDescent="0.25">
      <c r="A15" s="6">
        <v>2008</v>
      </c>
      <c r="B15" s="8">
        <v>1422.0750000000003</v>
      </c>
      <c r="C15" s="8">
        <v>1700.7583333333334</v>
      </c>
      <c r="D15" s="8">
        <v>1297.0833333333333</v>
      </c>
      <c r="E15" s="8">
        <v>1285.4428571428573</v>
      </c>
      <c r="F15" s="8">
        <v>1640.8014285714282</v>
      </c>
      <c r="G15" s="8">
        <v>1525.1866666666667</v>
      </c>
      <c r="H15" s="8">
        <v>1853.0769230769233</v>
      </c>
      <c r="I15" s="8">
        <v>1346.6000000000001</v>
      </c>
      <c r="J15" s="8">
        <v>1428.6475</v>
      </c>
      <c r="K15" s="8">
        <v>1279.1687499999996</v>
      </c>
      <c r="L15" s="8">
        <v>1162</v>
      </c>
      <c r="M15" s="8">
        <v>1688.5</v>
      </c>
      <c r="N15" s="8">
        <v>1469.2</v>
      </c>
      <c r="O15" s="8">
        <v>1653.6</v>
      </c>
      <c r="P15" s="8">
        <v>1885.4230769230769</v>
      </c>
      <c r="Q15" s="8">
        <v>1686.1166666666666</v>
      </c>
      <c r="R15" s="8">
        <v>1658.9777777777776</v>
      </c>
      <c r="S15" s="8">
        <v>1647.8461538461538</v>
      </c>
      <c r="T15" s="8">
        <v>1447.36</v>
      </c>
      <c r="U15" s="8">
        <v>1298.6721428571429</v>
      </c>
      <c r="V15" s="8">
        <v>1349.7871428571432</v>
      </c>
      <c r="W15" s="8">
        <v>1762.8653846153845</v>
      </c>
      <c r="X15" s="8">
        <v>1838.184</v>
      </c>
      <c r="Y15" s="8">
        <v>1497.5124999999998</v>
      </c>
      <c r="Z15" s="8">
        <v>1312.5480000000002</v>
      </c>
      <c r="AA15" s="8">
        <v>1419.6545454545458</v>
      </c>
      <c r="AB15" s="8">
        <v>1285.6272727272728</v>
      </c>
      <c r="AC15" s="8">
        <v>1879.0555555555554</v>
      </c>
      <c r="AD15" s="8">
        <v>1488.833333333333</v>
      </c>
      <c r="AE15" s="8">
        <v>1496.1764705882351</v>
      </c>
    </row>
    <row r="16" spans="1:31" ht="15.75" x14ac:dyDescent="0.25">
      <c r="A16" s="6">
        <v>2009</v>
      </c>
      <c r="B16" s="8">
        <v>1267.2874999999999</v>
      </c>
      <c r="C16" s="8">
        <v>1579.625</v>
      </c>
      <c r="D16" s="8">
        <v>1139.0249999999999</v>
      </c>
      <c r="E16" s="8">
        <v>1619.9</v>
      </c>
      <c r="F16" s="8">
        <v>1442.4928571428572</v>
      </c>
      <c r="G16" s="8">
        <v>1249</v>
      </c>
      <c r="H16" s="8">
        <v>1806.4615384615383</v>
      </c>
      <c r="I16" s="8">
        <v>992.4666666666667</v>
      </c>
      <c r="J16" s="8">
        <v>1471.5625</v>
      </c>
      <c r="K16" s="8">
        <v>1149.425</v>
      </c>
      <c r="L16" s="8">
        <v>1217.9545454545455</v>
      </c>
      <c r="M16" s="8">
        <v>1484</v>
      </c>
      <c r="N16" s="8">
        <v>1551.85</v>
      </c>
      <c r="O16" s="8">
        <v>1142.4000000000001</v>
      </c>
      <c r="P16" s="8">
        <v>1504.3076923076919</v>
      </c>
      <c r="Q16" s="8">
        <v>1603.5916666666669</v>
      </c>
      <c r="R16" s="8">
        <v>1568.8888888888889</v>
      </c>
      <c r="S16" s="8">
        <v>1321.6307692307694</v>
      </c>
      <c r="T16" s="8">
        <v>1396.37</v>
      </c>
      <c r="U16" s="8">
        <v>1038.3857142857144</v>
      </c>
      <c r="V16" s="8">
        <v>1101.287755102041</v>
      </c>
      <c r="W16" s="8">
        <v>1213.5307692307692</v>
      </c>
      <c r="X16" s="8">
        <v>1506.81</v>
      </c>
      <c r="Y16" s="8">
        <v>1490.9625000000001</v>
      </c>
      <c r="Z16" s="8">
        <v>1302.3800000000001</v>
      </c>
      <c r="AA16" s="8">
        <v>1463.3636363636363</v>
      </c>
      <c r="AB16" s="8">
        <v>1328.1</v>
      </c>
      <c r="AC16" s="8">
        <v>1294.3333333333335</v>
      </c>
      <c r="AD16" s="8">
        <v>1553.5</v>
      </c>
      <c r="AE16" s="8">
        <v>1076.4764705882351</v>
      </c>
    </row>
    <row r="17" spans="1:31" ht="15.75" x14ac:dyDescent="0.25">
      <c r="A17" s="6">
        <v>2010</v>
      </c>
      <c r="B17" s="8">
        <v>950.52250000000004</v>
      </c>
      <c r="C17" s="8">
        <v>1264.3333333333335</v>
      </c>
      <c r="D17" s="8">
        <v>1072.5000000000002</v>
      </c>
      <c r="E17" s="8">
        <v>1277.6999999999998</v>
      </c>
      <c r="F17" s="8">
        <v>1114.3999999999999</v>
      </c>
      <c r="G17" s="8">
        <v>1065.3</v>
      </c>
      <c r="H17" s="8">
        <v>1390.5384615384614</v>
      </c>
      <c r="I17" s="8">
        <v>949.06666666666672</v>
      </c>
      <c r="J17" s="8">
        <v>1127.3875</v>
      </c>
      <c r="K17" s="8">
        <v>1506.1875</v>
      </c>
      <c r="L17" s="8">
        <v>1476.7727272727275</v>
      </c>
      <c r="M17" s="8">
        <v>1208.875</v>
      </c>
      <c r="N17" s="8">
        <v>1252.1500000000001</v>
      </c>
      <c r="O17" s="8">
        <v>978.9799999999999</v>
      </c>
      <c r="P17" s="8">
        <v>1542.3999999999999</v>
      </c>
      <c r="Q17" s="8">
        <v>1533.3416666666667</v>
      </c>
      <c r="R17" s="8">
        <v>1250.4444444444446</v>
      </c>
      <c r="S17" s="8">
        <v>1213.4692307692308</v>
      </c>
      <c r="T17" s="8">
        <v>1489.6</v>
      </c>
      <c r="U17" s="8">
        <v>1533.2083516483519</v>
      </c>
      <c r="V17" s="8">
        <v>1819.971428571429</v>
      </c>
      <c r="W17" s="8">
        <v>995.55769230769238</v>
      </c>
      <c r="X17" s="8">
        <v>2206.2660000000001</v>
      </c>
      <c r="Y17" s="8">
        <v>1478.2375</v>
      </c>
      <c r="Z17" s="8">
        <v>1115.8399999999999</v>
      </c>
      <c r="AA17" s="8">
        <v>1513.090909090909</v>
      </c>
      <c r="AB17" s="8">
        <v>1491.8727272727272</v>
      </c>
      <c r="AC17" s="8">
        <v>978.39999999999986</v>
      </c>
      <c r="AD17" s="8">
        <v>1048.7333333333333</v>
      </c>
      <c r="AE17" s="8">
        <v>945.55294117647065</v>
      </c>
    </row>
    <row r="18" spans="1:31" ht="15.75" x14ac:dyDescent="0.25">
      <c r="A18" s="6">
        <v>2011</v>
      </c>
      <c r="B18" s="8">
        <v>1344.9250000000002</v>
      </c>
      <c r="C18" s="8">
        <v>1487.5</v>
      </c>
      <c r="D18" s="8">
        <v>1252.2500000000002</v>
      </c>
      <c r="E18" s="8">
        <v>1549.6428571428571</v>
      </c>
      <c r="F18" s="8">
        <v>1144.8</v>
      </c>
      <c r="G18" s="8">
        <v>1246.2333333333331</v>
      </c>
      <c r="H18" s="8">
        <v>1502.0769230769231</v>
      </c>
      <c r="I18" s="8">
        <v>1354</v>
      </c>
      <c r="J18" s="8">
        <v>1489.1875</v>
      </c>
      <c r="K18" s="8">
        <v>1293.1624999999999</v>
      </c>
      <c r="L18" s="8">
        <v>913.82727272727266</v>
      </c>
      <c r="M18" s="8">
        <v>1320.6875</v>
      </c>
      <c r="N18" s="8">
        <v>1645.1000000000001</v>
      </c>
      <c r="O18" s="8">
        <v>1366.1</v>
      </c>
      <c r="P18" s="8">
        <v>1174.0692307692309</v>
      </c>
      <c r="Q18" s="8">
        <v>1340.6666666666665</v>
      </c>
      <c r="R18" s="8">
        <v>1509.5</v>
      </c>
      <c r="S18" s="8">
        <v>1910.0923076923079</v>
      </c>
      <c r="T18" s="8">
        <v>1174.5500000000002</v>
      </c>
      <c r="U18" s="8">
        <v>1198.4357142857145</v>
      </c>
      <c r="V18" s="8">
        <v>1096.9285714285716</v>
      </c>
      <c r="W18" s="8">
        <v>1669.3038461538461</v>
      </c>
      <c r="X18" s="8">
        <v>1432.78</v>
      </c>
      <c r="Y18" s="8">
        <v>1168.5750000000003</v>
      </c>
      <c r="Z18" s="8">
        <v>1122.3600000000001</v>
      </c>
      <c r="AA18" s="8">
        <v>1051.7454545454545</v>
      </c>
      <c r="AB18" s="8">
        <v>1165.9272727272723</v>
      </c>
      <c r="AC18" s="8">
        <v>1672.5444444444447</v>
      </c>
      <c r="AD18" s="8">
        <v>1002.4166666666669</v>
      </c>
      <c r="AE18" s="8">
        <v>1580.6764705882354</v>
      </c>
    </row>
    <row r="19" spans="1:31" ht="15.75" x14ac:dyDescent="0.25">
      <c r="A19" s="6">
        <v>2012</v>
      </c>
      <c r="B19" s="8">
        <v>1409.65</v>
      </c>
      <c r="C19" s="8">
        <v>1028.7916666666667</v>
      </c>
      <c r="D19" s="8">
        <v>1495.2500000000002</v>
      </c>
      <c r="E19" s="8">
        <v>965.97142857142876</v>
      </c>
      <c r="F19" s="8">
        <v>1267.8928571428569</v>
      </c>
      <c r="G19" s="8">
        <v>1218.8</v>
      </c>
      <c r="H19" s="8">
        <v>1637.5384615384614</v>
      </c>
      <c r="I19" s="8">
        <v>1388.7666666666664</v>
      </c>
      <c r="J19" s="8">
        <v>1477.5</v>
      </c>
      <c r="K19" s="8">
        <v>1294.9000000000001</v>
      </c>
      <c r="L19" s="8">
        <v>1224.4363636363637</v>
      </c>
      <c r="M19" s="8">
        <v>1102.875</v>
      </c>
      <c r="N19" s="8">
        <v>1379.9100000000003</v>
      </c>
      <c r="O19" s="8">
        <v>1799.3999999999999</v>
      </c>
      <c r="P19" s="8">
        <v>1424.153846153846</v>
      </c>
      <c r="Q19" s="8">
        <v>1506.7833333333335</v>
      </c>
      <c r="R19" s="8">
        <v>1084.1111111111109</v>
      </c>
      <c r="S19" s="8">
        <v>1255.6846153846154</v>
      </c>
      <c r="T19" s="8">
        <v>1372.73</v>
      </c>
      <c r="U19" s="8">
        <v>1505.8285714285712</v>
      </c>
      <c r="V19" s="8">
        <v>1718.3571428571429</v>
      </c>
      <c r="W19" s="8">
        <v>1283.3615384615382</v>
      </c>
      <c r="X19" s="8">
        <v>1685.55</v>
      </c>
      <c r="Y19" s="8">
        <v>1749.0625000000002</v>
      </c>
      <c r="Z19" s="8">
        <v>930.16</v>
      </c>
      <c r="AA19" s="8">
        <v>1258.8818181818183</v>
      </c>
      <c r="AB19" s="8">
        <v>1286.5272727272727</v>
      </c>
      <c r="AC19" s="8">
        <v>1878.288888888889</v>
      </c>
      <c r="AD19" s="8">
        <v>1402.8333333333335</v>
      </c>
      <c r="AE19" s="8">
        <v>1441.5588235294119</v>
      </c>
    </row>
    <row r="20" spans="1:31" ht="15.75" x14ac:dyDescent="0.25">
      <c r="A20" s="6">
        <v>2013</v>
      </c>
      <c r="B20" s="8">
        <v>1444.3</v>
      </c>
      <c r="C20" s="8">
        <v>2094.0500000000002</v>
      </c>
      <c r="D20" s="8">
        <v>1242.45</v>
      </c>
      <c r="E20" s="8">
        <v>1794</v>
      </c>
      <c r="F20" s="8">
        <v>1422.8214285714284</v>
      </c>
      <c r="G20" s="8">
        <v>1170.2</v>
      </c>
      <c r="H20" s="8">
        <v>1491.3846153846152</v>
      </c>
      <c r="I20" s="8">
        <v>1466.1</v>
      </c>
      <c r="J20" s="8">
        <v>1639.6374999999998</v>
      </c>
      <c r="K20" s="8">
        <v>1781.2749999999999</v>
      </c>
      <c r="L20" s="8">
        <v>1972.1636363636367</v>
      </c>
      <c r="M20" s="8">
        <v>1278.5625</v>
      </c>
      <c r="N20" s="8">
        <v>1898</v>
      </c>
      <c r="O20" s="8">
        <v>1291.92</v>
      </c>
      <c r="P20" s="8">
        <v>1855.5384615384617</v>
      </c>
      <c r="Q20" s="8">
        <v>1704.7833333333333</v>
      </c>
      <c r="R20" s="8">
        <v>1713.6111111111111</v>
      </c>
      <c r="S20" s="8">
        <v>1651.376923076923</v>
      </c>
      <c r="T20" s="8">
        <v>1872.75</v>
      </c>
      <c r="U20" s="8">
        <v>1831.1214285714286</v>
      </c>
      <c r="V20" s="8">
        <v>1783.3285714285714</v>
      </c>
      <c r="W20" s="8">
        <v>2246.1192307692304</v>
      </c>
      <c r="X20" s="8">
        <v>1998.6800000000003</v>
      </c>
      <c r="Y20" s="8">
        <v>2056.4874999999997</v>
      </c>
      <c r="Z20" s="8">
        <v>1455.22</v>
      </c>
      <c r="AA20" s="8">
        <v>1764.518181818182</v>
      </c>
      <c r="AB20" s="8">
        <v>1485.7090909090907</v>
      </c>
      <c r="AC20" s="8">
        <v>1423.8888888888889</v>
      </c>
      <c r="AD20" s="8">
        <v>1315.3333333333335</v>
      </c>
      <c r="AE20" s="8">
        <v>1450.5117647058821</v>
      </c>
    </row>
    <row r="21" spans="1:31" ht="15.75" x14ac:dyDescent="0.25">
      <c r="A21" s="6">
        <v>2014</v>
      </c>
      <c r="B21" s="8">
        <v>1581.5874999999999</v>
      </c>
      <c r="C21" s="8">
        <v>1931.2249999999999</v>
      </c>
      <c r="D21" s="8">
        <v>1710.75</v>
      </c>
      <c r="E21" s="8">
        <v>1477.3142857142859</v>
      </c>
      <c r="F21" s="8">
        <v>1411.6142857142859</v>
      </c>
      <c r="G21" s="8">
        <v>1690.6333333333334</v>
      </c>
      <c r="H21" s="8">
        <v>1744.4692307692308</v>
      </c>
      <c r="I21" s="8">
        <v>1583.5333333333333</v>
      </c>
      <c r="J21" s="8">
        <v>1429.7625</v>
      </c>
      <c r="K21" s="8">
        <v>1939.05</v>
      </c>
      <c r="L21" s="8">
        <v>1400.390909090909</v>
      </c>
      <c r="M21" s="8">
        <v>1521.375</v>
      </c>
      <c r="N21" s="8">
        <v>1681</v>
      </c>
      <c r="O21" s="8">
        <v>1373.48</v>
      </c>
      <c r="P21" s="8">
        <v>1740</v>
      </c>
      <c r="Q21" s="8">
        <v>1648.4583333333335</v>
      </c>
      <c r="R21" s="8">
        <v>1561.3333333333333</v>
      </c>
      <c r="S21" s="8">
        <v>1339.5538461538463</v>
      </c>
      <c r="T21" s="8">
        <v>1413.75</v>
      </c>
      <c r="U21" s="8">
        <v>1726.8</v>
      </c>
      <c r="V21" s="8">
        <v>1509.6428571428573</v>
      </c>
      <c r="W21" s="8">
        <v>1599.4384615384615</v>
      </c>
      <c r="X21" s="8">
        <v>1957.17</v>
      </c>
      <c r="Y21" s="8">
        <v>1467.1125</v>
      </c>
      <c r="Z21" s="8">
        <v>1604.1799999999998</v>
      </c>
      <c r="AA21" s="8">
        <v>1568.9636363636362</v>
      </c>
      <c r="AB21" s="8">
        <v>1660.1363636363637</v>
      </c>
      <c r="AC21" s="8">
        <v>1749.8</v>
      </c>
      <c r="AD21" s="8">
        <v>1905.3333333333333</v>
      </c>
      <c r="AE21" s="8">
        <v>1332.1411764705886</v>
      </c>
    </row>
    <row r="22" spans="1:31" ht="15.75" x14ac:dyDescent="0.25">
      <c r="A22" s="6">
        <v>2015</v>
      </c>
      <c r="B22" s="8">
        <v>1073.0249999999999</v>
      </c>
      <c r="C22" s="8">
        <v>1290.3249999999998</v>
      </c>
      <c r="D22" s="8">
        <v>1010.5871212121214</v>
      </c>
      <c r="E22" s="8">
        <v>1157.9714285714288</v>
      </c>
      <c r="F22" s="8">
        <v>1024.3500000000001</v>
      </c>
      <c r="G22" s="8">
        <v>1098.5999999999999</v>
      </c>
      <c r="H22" s="8">
        <v>1175.8461538461538</v>
      </c>
      <c r="I22" s="8">
        <v>1421.7666666666671</v>
      </c>
      <c r="J22" s="8">
        <v>1021.2249999999999</v>
      </c>
      <c r="K22" s="8">
        <v>1126.2375</v>
      </c>
      <c r="L22" s="8">
        <v>1169.7863636363638</v>
      </c>
      <c r="M22" s="8">
        <v>1123.25</v>
      </c>
      <c r="N22" s="8">
        <v>1259.4999999999998</v>
      </c>
      <c r="O22" s="8">
        <v>1496.8999999999999</v>
      </c>
      <c r="P22" s="8">
        <v>1367.1923076923074</v>
      </c>
      <c r="Q22" s="8">
        <v>1138.1916666666666</v>
      </c>
      <c r="R22" s="8">
        <v>1204.8888888888889</v>
      </c>
      <c r="S22" s="8">
        <v>1009.4923076923078</v>
      </c>
      <c r="T22" s="8">
        <v>1000.6999999999998</v>
      </c>
      <c r="U22" s="8">
        <v>1541.0357142857142</v>
      </c>
      <c r="V22" s="8">
        <v>1771.014285714286</v>
      </c>
      <c r="W22" s="8">
        <v>1251.9846153846152</v>
      </c>
      <c r="X22" s="8">
        <v>1689.0900000000001</v>
      </c>
      <c r="Y22" s="8">
        <v>1131.175</v>
      </c>
      <c r="Z22" s="8">
        <v>1227.74</v>
      </c>
      <c r="AA22" s="8">
        <v>1133.4727272727275</v>
      </c>
      <c r="AB22" s="8">
        <v>1172.8090909090909</v>
      </c>
      <c r="AC22" s="8">
        <v>1351.788888888889</v>
      </c>
      <c r="AD22" s="8">
        <v>1035.8166666666666</v>
      </c>
      <c r="AE22" s="8">
        <v>1267.2294117647059</v>
      </c>
    </row>
    <row r="23" spans="1:31" ht="15.75" x14ac:dyDescent="0.25">
      <c r="A23" s="6">
        <v>2016</v>
      </c>
      <c r="B23" s="8">
        <v>1144.3875</v>
      </c>
      <c r="C23" s="8">
        <v>1628.4333333333332</v>
      </c>
      <c r="D23" s="8">
        <v>1045.05</v>
      </c>
      <c r="E23" s="8">
        <v>1506.8571428571429</v>
      </c>
      <c r="F23" s="8">
        <v>1049.8714285714286</v>
      </c>
      <c r="G23" s="8">
        <v>1164.1666666666667</v>
      </c>
      <c r="H23" s="8">
        <v>1379.5384615384614</v>
      </c>
      <c r="I23" s="8">
        <v>959.46666666666658</v>
      </c>
      <c r="J23" s="8">
        <v>1207.6625000000004</v>
      </c>
      <c r="K23" s="8">
        <v>1406.0124999999998</v>
      </c>
      <c r="L23" s="8">
        <v>1150.8272727272729</v>
      </c>
      <c r="M23" s="8">
        <v>1578.875</v>
      </c>
      <c r="N23" s="8">
        <v>1476.97</v>
      </c>
      <c r="O23" s="8">
        <v>1110.8800000000001</v>
      </c>
      <c r="P23" s="8">
        <v>1331.7538461538463</v>
      </c>
      <c r="Q23" s="8">
        <v>1226.375</v>
      </c>
      <c r="R23" s="8">
        <v>1642.6777777777777</v>
      </c>
      <c r="S23" s="8">
        <v>1211.2307692307695</v>
      </c>
      <c r="T23" s="8">
        <v>1185.2900000000002</v>
      </c>
      <c r="U23" s="8">
        <v>1713.7857142857142</v>
      </c>
      <c r="V23" s="8">
        <v>1472.6428571428571</v>
      </c>
      <c r="W23" s="8">
        <v>1389.9846153846154</v>
      </c>
      <c r="X23" s="8">
        <v>1551.91</v>
      </c>
      <c r="Y23" s="8">
        <v>1152.0625000000002</v>
      </c>
      <c r="Z23" s="8">
        <v>1097.1000000000001</v>
      </c>
      <c r="AA23" s="8">
        <v>1224.2818181818182</v>
      </c>
      <c r="AB23" s="8">
        <v>1138.5818181818183</v>
      </c>
      <c r="AC23" s="8">
        <v>1187.3333333333333</v>
      </c>
      <c r="AD23" s="8">
        <v>1108.1500000000001</v>
      </c>
      <c r="AE23" s="8">
        <v>1052.0823529411764</v>
      </c>
    </row>
    <row r="24" spans="1:31" ht="15.75" x14ac:dyDescent="0.25">
      <c r="A24" s="6">
        <v>2017</v>
      </c>
      <c r="B24" s="8">
        <v>964.98749999999995</v>
      </c>
      <c r="C24" s="8">
        <v>1550.4083333333333</v>
      </c>
      <c r="D24" s="8">
        <v>983.92500000000007</v>
      </c>
      <c r="E24" s="8">
        <v>1198.9142857142856</v>
      </c>
      <c r="F24" s="8">
        <v>854.00000000000011</v>
      </c>
      <c r="G24" s="8">
        <v>1172.8333333333335</v>
      </c>
      <c r="H24" s="8">
        <v>1442.0923076923075</v>
      </c>
      <c r="I24" s="8">
        <v>1509.7666666666664</v>
      </c>
      <c r="J24" s="8">
        <v>1133.4625000000001</v>
      </c>
      <c r="K24" s="8">
        <v>1687.1499999999999</v>
      </c>
      <c r="L24" s="8">
        <v>1362.7590909090911</v>
      </c>
      <c r="M24" s="8">
        <v>1618.75</v>
      </c>
      <c r="N24" s="8">
        <v>1302.23</v>
      </c>
      <c r="O24" s="8">
        <v>1392.1</v>
      </c>
      <c r="P24" s="8">
        <v>1425.4307692307691</v>
      </c>
      <c r="Q24" s="8">
        <v>1231.6083333333333</v>
      </c>
      <c r="R24" s="8">
        <v>1504.3333333333335</v>
      </c>
      <c r="S24" s="8">
        <v>1228.3538461538462</v>
      </c>
      <c r="T24" s="8">
        <v>1530.05</v>
      </c>
      <c r="U24" s="8">
        <v>1520.5428571428572</v>
      </c>
      <c r="V24" s="8">
        <v>1722.6857142857143</v>
      </c>
      <c r="W24" s="8">
        <v>1451.7884615384619</v>
      </c>
      <c r="X24" s="8">
        <v>1515.4700000000003</v>
      </c>
      <c r="Y24" s="8">
        <v>1219.6500000000001</v>
      </c>
      <c r="Z24" s="8">
        <v>1011.28</v>
      </c>
      <c r="AA24" s="8">
        <v>1510.909090909091</v>
      </c>
      <c r="AB24" s="8">
        <v>1381.5727272727274</v>
      </c>
      <c r="AC24" s="8">
        <v>1260.4555555555555</v>
      </c>
      <c r="AD24" s="8">
        <v>1116.1166666666666</v>
      </c>
      <c r="AE24" s="8">
        <v>1288.0529411764708</v>
      </c>
    </row>
    <row r="25" spans="1:31" ht="15.75" x14ac:dyDescent="0.25">
      <c r="A25" s="6">
        <v>2018</v>
      </c>
      <c r="B25" s="8">
        <v>1373.3625</v>
      </c>
      <c r="C25" s="8">
        <v>1838.5583333333336</v>
      </c>
      <c r="D25" s="8">
        <v>1356.9750000000001</v>
      </c>
      <c r="E25" s="8">
        <v>1775.6142857142854</v>
      </c>
      <c r="F25" s="8">
        <v>1128.0714285714284</v>
      </c>
      <c r="G25" s="8">
        <v>1621.9333333333334</v>
      </c>
      <c r="H25" s="8">
        <v>1841.469230769231</v>
      </c>
      <c r="I25" s="8">
        <v>1477.5333333333333</v>
      </c>
      <c r="J25" s="8">
        <v>1620.075</v>
      </c>
      <c r="K25" s="8">
        <v>1685.625</v>
      </c>
      <c r="L25" s="8">
        <v>1373.1454545454544</v>
      </c>
      <c r="M25" s="8">
        <v>1838.75</v>
      </c>
      <c r="N25" s="8">
        <v>2091.6200000000003</v>
      </c>
      <c r="O25" s="8">
        <v>1359.6599999999999</v>
      </c>
      <c r="P25" s="8">
        <v>1996.4538461538466</v>
      </c>
      <c r="Q25" s="8">
        <v>1826.4333333333334</v>
      </c>
      <c r="R25" s="8">
        <v>1885.8222222222223</v>
      </c>
      <c r="S25" s="8">
        <v>1665.9846153846154</v>
      </c>
      <c r="T25" s="8">
        <v>1810.6000000000004</v>
      </c>
      <c r="U25" s="8">
        <v>1793.9785714285713</v>
      </c>
      <c r="V25" s="8">
        <v>2259.9857142857145</v>
      </c>
      <c r="W25" s="8">
        <v>1654.2769230769227</v>
      </c>
      <c r="X25" s="8">
        <v>1382.71</v>
      </c>
      <c r="Y25" s="8">
        <v>1400.7625</v>
      </c>
      <c r="Z25" s="8">
        <v>1192.8200000000002</v>
      </c>
      <c r="AA25" s="8">
        <v>1936.0090909090909</v>
      </c>
      <c r="AB25" s="8">
        <v>1514.481818181818</v>
      </c>
      <c r="AC25" s="8">
        <v>1660.4</v>
      </c>
      <c r="AD25" s="8">
        <v>1624.4500000000003</v>
      </c>
      <c r="AE25" s="8">
        <v>1312.2823529411764</v>
      </c>
    </row>
    <row r="26" spans="1:31" ht="15.75" x14ac:dyDescent="0.25">
      <c r="A26" s="6">
        <v>2019</v>
      </c>
      <c r="B26" s="8">
        <v>1258.5374999999999</v>
      </c>
      <c r="C26" s="8">
        <v>1661.8166666666668</v>
      </c>
      <c r="D26" s="8">
        <v>1584.05</v>
      </c>
      <c r="E26" s="8">
        <v>1506.1857142857143</v>
      </c>
      <c r="F26" s="8">
        <v>1565.5642857142857</v>
      </c>
      <c r="G26" s="8">
        <v>1532.1000000000001</v>
      </c>
      <c r="H26" s="8">
        <v>1880.2153846153847</v>
      </c>
      <c r="I26" s="8">
        <v>1411.3333333333333</v>
      </c>
      <c r="J26" s="8">
        <v>1463.875</v>
      </c>
      <c r="K26" s="8">
        <v>1520.5250000000001</v>
      </c>
      <c r="L26" s="8">
        <v>1574.6000000000001</v>
      </c>
      <c r="M26" s="8">
        <v>1647.875</v>
      </c>
      <c r="N26" s="8">
        <v>1750.0200000000002</v>
      </c>
      <c r="O26" s="8">
        <v>1823.76</v>
      </c>
      <c r="P26" s="8">
        <v>1694.4461538461537</v>
      </c>
      <c r="Q26" s="8">
        <v>1671.6999999999996</v>
      </c>
      <c r="R26" s="8">
        <v>1583.1444444444446</v>
      </c>
      <c r="S26" s="8">
        <v>1494.7307692307695</v>
      </c>
      <c r="T26" s="8">
        <v>1816.2833333333333</v>
      </c>
      <c r="U26" s="8">
        <v>2105.0785714285712</v>
      </c>
      <c r="V26" s="8">
        <v>2104.1714285714284</v>
      </c>
      <c r="W26" s="8">
        <v>1682.6423076923079</v>
      </c>
      <c r="X26" s="8">
        <v>1695.3000000000002</v>
      </c>
      <c r="Y26" s="8">
        <v>1713.5625</v>
      </c>
      <c r="Z26" s="8">
        <v>1167.3799999999999</v>
      </c>
      <c r="AA26" s="8">
        <v>1858.8727272727274</v>
      </c>
      <c r="AB26" s="8">
        <v>1407.5818181818183</v>
      </c>
      <c r="AC26" s="8">
        <v>1529.288888888889</v>
      </c>
      <c r="AD26" s="8">
        <v>1724.0699999999997</v>
      </c>
      <c r="AE26" s="8">
        <v>1404.8764705882354</v>
      </c>
    </row>
    <row r="27" spans="1:31" ht="15.75" x14ac:dyDescent="0.25">
      <c r="A27" s="6">
        <v>2020</v>
      </c>
      <c r="B27" s="8">
        <v>1727.875</v>
      </c>
      <c r="C27" s="8">
        <v>1538.1750000000002</v>
      </c>
      <c r="D27" s="8">
        <v>1598.125</v>
      </c>
      <c r="E27" s="8">
        <v>1756.8428571428569</v>
      </c>
      <c r="F27" s="8">
        <v>1270.9071428571431</v>
      </c>
      <c r="G27" s="8">
        <v>1693.2333333333331</v>
      </c>
      <c r="H27" s="8">
        <v>1743.2</v>
      </c>
      <c r="I27" s="8">
        <v>2053.9333333333334</v>
      </c>
      <c r="J27" s="8">
        <v>1644.925</v>
      </c>
      <c r="K27" s="8">
        <v>1428</v>
      </c>
      <c r="L27" s="8">
        <v>1415.7954545454545</v>
      </c>
      <c r="M27" s="8">
        <v>1638.5250000000001</v>
      </c>
      <c r="N27" s="8">
        <v>1771.81</v>
      </c>
      <c r="O27" s="8">
        <v>1874.9800000000002</v>
      </c>
      <c r="P27" s="8">
        <v>1482.3615384615384</v>
      </c>
      <c r="Q27" s="8">
        <v>1637.8999999999999</v>
      </c>
      <c r="R27" s="8">
        <v>1887.5555555555554</v>
      </c>
      <c r="S27" s="8">
        <v>1718.476923076923</v>
      </c>
      <c r="T27" s="8">
        <v>1369.1599999999999</v>
      </c>
      <c r="U27" s="8">
        <v>1682.4214285714286</v>
      </c>
      <c r="V27" s="8">
        <v>2164.0142857142855</v>
      </c>
      <c r="W27" s="8">
        <v>1748.273076923077</v>
      </c>
      <c r="X27" s="8">
        <v>1558.18</v>
      </c>
      <c r="Y27" s="8">
        <v>1359.95</v>
      </c>
      <c r="Z27" s="8">
        <v>1401.2000000000003</v>
      </c>
      <c r="AA27" s="8">
        <v>1294.2636363636364</v>
      </c>
      <c r="AB27" s="8">
        <v>1315.3454545454545</v>
      </c>
      <c r="AC27" s="8">
        <v>1788.577777777778</v>
      </c>
      <c r="AD27" s="8">
        <v>1673.7666666666667</v>
      </c>
      <c r="AE27" s="8">
        <v>1585.1941176470589</v>
      </c>
    </row>
    <row r="28" spans="1:31" ht="15.75" x14ac:dyDescent="0.25">
      <c r="A28" s="6">
        <v>2021</v>
      </c>
      <c r="B28" s="8">
        <v>1221.8375000000003</v>
      </c>
      <c r="C28" s="8">
        <v>1682.3416666666667</v>
      </c>
      <c r="D28" s="8">
        <v>1226.2583333333334</v>
      </c>
      <c r="E28" s="8">
        <v>1532.3142857142857</v>
      </c>
      <c r="F28" s="8">
        <v>1022.1571428571428</v>
      </c>
      <c r="G28" s="8">
        <v>1316.4</v>
      </c>
      <c r="H28" s="8">
        <v>1849.292307692308</v>
      </c>
      <c r="I28" s="8">
        <v>1598.2</v>
      </c>
      <c r="J28" s="8">
        <v>1477.3750000000002</v>
      </c>
      <c r="K28" s="8">
        <v>1467.6000000000001</v>
      </c>
      <c r="L28" s="8">
        <v>1457.0772727272727</v>
      </c>
      <c r="M28" s="8">
        <v>2234.5124999999998</v>
      </c>
      <c r="N28" s="8">
        <v>1708.88</v>
      </c>
      <c r="O28" s="8">
        <v>1099.3599999999999</v>
      </c>
      <c r="P28" s="8">
        <v>1052.8461538461538</v>
      </c>
      <c r="Q28" s="8">
        <v>1229.1249999999998</v>
      </c>
      <c r="R28" s="8">
        <v>1890.2444444444443</v>
      </c>
      <c r="S28" s="8">
        <v>1493.5538461538461</v>
      </c>
      <c r="T28" s="8">
        <v>1612.0500000000002</v>
      </c>
      <c r="U28" s="8">
        <v>1478.8071428571425</v>
      </c>
      <c r="V28" s="8">
        <v>1676.6285714285711</v>
      </c>
      <c r="W28" s="8">
        <v>1601.1076923076921</v>
      </c>
      <c r="X28" s="8">
        <v>1232.6599999999996</v>
      </c>
      <c r="Y28" s="8">
        <v>1582.6125000000002</v>
      </c>
      <c r="Z28" s="8">
        <v>1114.8400000000001</v>
      </c>
      <c r="AA28" s="8">
        <v>1576.4454545454546</v>
      </c>
      <c r="AB28" s="8">
        <v>991.23636363636365</v>
      </c>
      <c r="AC28" s="8">
        <v>1208.6444444444442</v>
      </c>
      <c r="AD28" s="8">
        <v>1325.866666666667</v>
      </c>
      <c r="AE28" s="8">
        <v>1368.1176470588239</v>
      </c>
    </row>
    <row r="29" spans="1:31" ht="15.75" x14ac:dyDescent="0.25">
      <c r="A29" s="6">
        <v>2022</v>
      </c>
      <c r="B29" s="8">
        <v>1160.6125</v>
      </c>
      <c r="C29" s="8">
        <v>1482.7416666666668</v>
      </c>
      <c r="D29" s="8">
        <v>1268.0916666666667</v>
      </c>
      <c r="E29" s="8">
        <v>1222.3285714285714</v>
      </c>
      <c r="F29" s="8">
        <v>1109.9785714285713</v>
      </c>
      <c r="G29" s="8">
        <v>1675.0666666666666</v>
      </c>
      <c r="H29" s="8">
        <v>1496.9923076923078</v>
      </c>
      <c r="I29" s="8">
        <v>1545.1999999999998</v>
      </c>
      <c r="J29" s="8">
        <v>1421.6875</v>
      </c>
      <c r="K29" s="8">
        <v>1537.8874999999998</v>
      </c>
      <c r="L29" s="8">
        <v>1338.6090909090906</v>
      </c>
      <c r="M29" s="8">
        <v>1467.875</v>
      </c>
      <c r="N29" s="8">
        <v>1419.92</v>
      </c>
      <c r="O29" s="8">
        <v>1323.7600000000002</v>
      </c>
      <c r="P29" s="8">
        <v>1555.0769230769233</v>
      </c>
      <c r="Q29" s="8">
        <v>2022.8666666666668</v>
      </c>
      <c r="R29" s="8">
        <v>1405.2222222222222</v>
      </c>
      <c r="S29" s="8">
        <v>1291.7</v>
      </c>
      <c r="T29" s="8">
        <v>1407.1699999999998</v>
      </c>
      <c r="U29" s="8">
        <v>1919.5571428571427</v>
      </c>
      <c r="V29" s="8">
        <v>1559.3428571428574</v>
      </c>
      <c r="W29" s="8">
        <v>1413.4576923076922</v>
      </c>
      <c r="X29" s="8">
        <v>1714.28</v>
      </c>
      <c r="Y29" s="8">
        <v>1496.2250000000001</v>
      </c>
      <c r="Z29" s="8">
        <v>1245.5999999999999</v>
      </c>
      <c r="AA29" s="8">
        <v>1199.2272727272727</v>
      </c>
      <c r="AB29" s="8">
        <v>1393.2636363636366</v>
      </c>
      <c r="AC29" s="8">
        <v>1389.8555555555554</v>
      </c>
      <c r="AD29" s="8">
        <v>1191.6666666666665</v>
      </c>
      <c r="AE29" s="8">
        <v>1250.8294117647058</v>
      </c>
    </row>
    <row r="30" spans="1:31" ht="15.75" x14ac:dyDescent="0.25">
      <c r="A30" s="6">
        <v>2023</v>
      </c>
      <c r="B30" s="8">
        <v>1424.0874999999999</v>
      </c>
      <c r="C30" s="8">
        <v>1471.8583333333331</v>
      </c>
      <c r="D30" s="8">
        <v>1455.1416666666664</v>
      </c>
      <c r="E30" s="8">
        <v>1370.1857142857143</v>
      </c>
      <c r="F30" s="8">
        <v>1193.4357142857141</v>
      </c>
      <c r="G30" s="8">
        <v>1559.2</v>
      </c>
      <c r="H30" s="8">
        <v>1335.0076923076924</v>
      </c>
      <c r="I30" s="8">
        <v>1527.4333333333334</v>
      </c>
      <c r="J30" s="8">
        <v>1629.65</v>
      </c>
      <c r="K30" s="8">
        <v>1220.3249999999998</v>
      </c>
      <c r="L30" s="8">
        <v>930.43681818181801</v>
      </c>
      <c r="M30" s="8">
        <v>1158.4124999999999</v>
      </c>
      <c r="N30" s="8">
        <v>1296.17</v>
      </c>
      <c r="O30" s="8">
        <v>1715.4399999999998</v>
      </c>
      <c r="P30" s="8">
        <v>1335.8692307692309</v>
      </c>
      <c r="Q30" s="8">
        <v>1610.7416666666666</v>
      </c>
      <c r="R30" s="8">
        <v>1130.8333333333335</v>
      </c>
      <c r="S30" s="8">
        <v>1490.5076923076927</v>
      </c>
      <c r="T30" s="8">
        <v>1218.0299999999997</v>
      </c>
      <c r="U30" s="8">
        <v>1749.6857142857143</v>
      </c>
      <c r="V30" s="8">
        <v>1762.4857142857143</v>
      </c>
      <c r="W30" s="8">
        <v>1375.823076923077</v>
      </c>
      <c r="X30" s="8">
        <v>1331.41</v>
      </c>
      <c r="Y30" s="8">
        <v>1275.0937500000002</v>
      </c>
      <c r="Z30" s="8">
        <v>1235.44</v>
      </c>
      <c r="AA30" s="8">
        <v>993.7227272727273</v>
      </c>
      <c r="AB30" s="8">
        <v>1155.0545454545454</v>
      </c>
      <c r="AC30" s="8">
        <v>1772.3633333333335</v>
      </c>
      <c r="AD30" s="8">
        <v>1480.4</v>
      </c>
      <c r="AE30" s="8">
        <v>1391.6617647058824</v>
      </c>
    </row>
    <row r="31" spans="1:31" x14ac:dyDescent="0.25">
      <c r="B31" s="2"/>
    </row>
    <row r="32" spans="1:31" x14ac:dyDescent="0.25">
      <c r="B32">
        <f>STDEV(B2:B30)</f>
        <v>248.9414429861657</v>
      </c>
      <c r="C32">
        <f>STDEV(C2:C30)</f>
        <v>310.46682680784153</v>
      </c>
    </row>
    <row r="34" spans="2:2" x14ac:dyDescent="0.25">
      <c r="B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79C3-0C33-44AB-BF86-BF0010479AE8}">
  <dimension ref="A1:AH12"/>
  <sheetViews>
    <sheetView workbookViewId="0">
      <selection activeCell="X15" sqref="X15"/>
    </sheetView>
  </sheetViews>
  <sheetFormatPr defaultRowHeight="15" x14ac:dyDescent="0.25"/>
  <cols>
    <col min="1" max="1" width="1.7109375" bestFit="1" customWidth="1"/>
    <col min="2" max="2" width="8.7109375" bestFit="1" customWidth="1"/>
    <col min="3" max="9" width="2.85546875" bestFit="1" customWidth="1"/>
    <col min="10" max="10" width="3.5703125" bestFit="1" customWidth="1"/>
    <col min="11" max="12" width="4.28515625" bestFit="1" customWidth="1"/>
    <col min="13" max="13" width="2.85546875" bestFit="1" customWidth="1"/>
    <col min="14" max="14" width="4.28515625" bestFit="1" customWidth="1"/>
    <col min="15" max="16" width="2.85546875" bestFit="1" customWidth="1"/>
    <col min="17" max="17" width="3.5703125" bestFit="1" customWidth="1"/>
    <col min="18" max="19" width="2.85546875" bestFit="1" customWidth="1"/>
    <col min="20" max="20" width="3.5703125" bestFit="1" customWidth="1"/>
    <col min="21" max="33" width="2.85546875" bestFit="1" customWidth="1"/>
    <col min="34" max="34" width="4.28515625" bestFit="1" customWidth="1"/>
  </cols>
  <sheetData>
    <row r="1" spans="1:34" x14ac:dyDescent="0.25">
      <c r="A1" s="21" t="s">
        <v>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x14ac:dyDescent="0.25">
      <c r="A2" s="15">
        <v>1</v>
      </c>
      <c r="B2" s="10" t="s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20</v>
      </c>
      <c r="L2" s="17">
        <v>12</v>
      </c>
      <c r="M2" s="17">
        <v>0</v>
      </c>
      <c r="N2" s="17">
        <v>13</v>
      </c>
      <c r="O2" s="17">
        <v>3</v>
      </c>
      <c r="P2" s="17">
        <v>0</v>
      </c>
      <c r="Q2" s="17">
        <v>0</v>
      </c>
      <c r="R2" s="17">
        <v>0</v>
      </c>
      <c r="S2" s="17">
        <v>1</v>
      </c>
      <c r="T2" s="17">
        <v>0.4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49.4</v>
      </c>
    </row>
    <row r="3" spans="1:34" x14ac:dyDescent="0.25">
      <c r="A3" s="15">
        <v>2</v>
      </c>
      <c r="B3" s="10" t="s">
        <v>70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5</v>
      </c>
      <c r="L3" s="17">
        <v>8</v>
      </c>
      <c r="M3" s="17">
        <v>4</v>
      </c>
      <c r="N3" s="17">
        <v>10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6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33</v>
      </c>
    </row>
    <row r="4" spans="1:34" x14ac:dyDescent="0.25">
      <c r="A4" s="15">
        <v>3</v>
      </c>
      <c r="B4" s="10" t="s">
        <v>71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15</v>
      </c>
      <c r="K4" s="17">
        <v>0</v>
      </c>
      <c r="L4" s="17">
        <v>0</v>
      </c>
      <c r="M4" s="17">
        <v>5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5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25</v>
      </c>
    </row>
    <row r="5" spans="1:34" x14ac:dyDescent="0.25">
      <c r="A5" s="15">
        <v>4</v>
      </c>
      <c r="B5" s="10" t="s">
        <v>72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35</v>
      </c>
      <c r="L5" s="17">
        <v>11</v>
      </c>
      <c r="M5" s="17">
        <v>0</v>
      </c>
      <c r="N5" s="17">
        <v>10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0.3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56.3</v>
      </c>
    </row>
    <row r="6" spans="1:34" x14ac:dyDescent="0.25">
      <c r="A6" s="15">
        <v>5</v>
      </c>
      <c r="B6" s="10" t="s">
        <v>73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44</v>
      </c>
      <c r="L6" s="17">
        <v>22</v>
      </c>
      <c r="M6" s="17">
        <v>0</v>
      </c>
      <c r="N6" s="17">
        <v>12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6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84</v>
      </c>
    </row>
    <row r="7" spans="1:34" x14ac:dyDescent="0.25">
      <c r="A7" s="15">
        <v>6</v>
      </c>
      <c r="B7" s="10" t="s">
        <v>74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25.6</v>
      </c>
      <c r="L7" s="17">
        <v>25.2</v>
      </c>
      <c r="M7" s="17">
        <v>0</v>
      </c>
      <c r="N7" s="17">
        <v>20.8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3.6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75.199999999999989</v>
      </c>
    </row>
    <row r="8" spans="1:34" x14ac:dyDescent="0.25">
      <c r="A8" s="15">
        <v>7</v>
      </c>
      <c r="B8" s="10" t="s">
        <v>75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33.6</v>
      </c>
      <c r="L8" s="17">
        <v>18.399999999999999</v>
      </c>
      <c r="M8" s="17">
        <v>0</v>
      </c>
      <c r="N8" s="17">
        <v>21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3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76</v>
      </c>
    </row>
    <row r="9" spans="1:34" x14ac:dyDescent="0.25">
      <c r="A9" s="15">
        <v>8</v>
      </c>
      <c r="B9" s="10" t="s">
        <v>76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38</v>
      </c>
      <c r="L9" s="17">
        <v>45</v>
      </c>
      <c r="M9" s="17">
        <v>0</v>
      </c>
      <c r="N9" s="17">
        <v>34</v>
      </c>
      <c r="O9" s="17">
        <v>0</v>
      </c>
      <c r="P9" s="17">
        <v>0</v>
      </c>
      <c r="Q9" s="17">
        <v>15</v>
      </c>
      <c r="R9" s="17">
        <v>5.5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137.5</v>
      </c>
    </row>
    <row r="10" spans="1:34" x14ac:dyDescent="0.25">
      <c r="A10" s="16"/>
      <c r="B10" s="13" t="s">
        <v>77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15</v>
      </c>
      <c r="K10" s="14">
        <v>201.2</v>
      </c>
      <c r="L10" s="14">
        <v>141.6</v>
      </c>
      <c r="M10" s="14">
        <v>9</v>
      </c>
      <c r="N10" s="14">
        <v>120.8</v>
      </c>
      <c r="O10" s="14">
        <v>3</v>
      </c>
      <c r="P10" s="14">
        <v>0</v>
      </c>
      <c r="Q10" s="14">
        <v>15</v>
      </c>
      <c r="R10" s="14">
        <v>5.5</v>
      </c>
      <c r="S10" s="14">
        <v>6</v>
      </c>
      <c r="T10" s="14">
        <v>13.3</v>
      </c>
      <c r="U10" s="14">
        <v>6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536.4</v>
      </c>
    </row>
    <row r="11" spans="1:34" x14ac:dyDescent="0.25">
      <c r="A11" s="16"/>
      <c r="B11" s="13" t="s">
        <v>78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1.875</v>
      </c>
      <c r="K11" s="14">
        <v>25.15</v>
      </c>
      <c r="L11" s="14">
        <v>17.7</v>
      </c>
      <c r="M11" s="14">
        <v>1.125</v>
      </c>
      <c r="N11" s="14">
        <v>15.1</v>
      </c>
      <c r="O11" s="14">
        <v>0.375</v>
      </c>
      <c r="P11" s="14">
        <v>0</v>
      </c>
      <c r="Q11" s="14">
        <v>1.875</v>
      </c>
      <c r="R11" s="14">
        <v>0.6875</v>
      </c>
      <c r="S11" s="14">
        <v>0.75</v>
      </c>
      <c r="T11" s="14">
        <v>1.6625000000000001</v>
      </c>
      <c r="U11" s="14">
        <v>0.75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67.05</v>
      </c>
    </row>
    <row r="12" spans="1:34" x14ac:dyDescent="0.25">
      <c r="A12" s="11"/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</sheetData>
  <mergeCells count="1">
    <mergeCell ref="A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2024-11-19T15:24:00Z</dcterms:created>
  <dcterms:modified xsi:type="dcterms:W3CDTF">2025-05-13T16:10:01Z</dcterms:modified>
</cp:coreProperties>
</file>